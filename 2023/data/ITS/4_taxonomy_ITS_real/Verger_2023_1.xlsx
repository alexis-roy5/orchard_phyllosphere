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isroy/Documents/1_Université/Stages/Labo_ILL/pratique/data/16s_subset/4_taxonomy_IP34/"/>
    </mc:Choice>
  </mc:AlternateContent>
  <xr:revisionPtr revIDLastSave="0" documentId="13_ncr:1_{3FE29E8E-E8A0-CA4D-B616-F941C81B0F7C}" xr6:coauthVersionLast="47" xr6:coauthVersionMax="47" xr10:uidLastSave="{00000000-0000-0000-0000-000000000000}"/>
  <bookViews>
    <workbookView xWindow="0" yWindow="500" windowWidth="25600" windowHeight="14040" activeTab="9" xr2:uid="{E959B250-F3FE-4A45-AFFD-225FA325CE67}"/>
  </bookViews>
  <sheets>
    <sheet name="Vergers" sheetId="1" r:id="rId1"/>
    <sheet name="Susceptibilité" sheetId="3" r:id="rId2"/>
    <sheet name="Cultivars" sheetId="2" r:id="rId3"/>
    <sheet name="SamplingGuide" sheetId="4" r:id="rId4"/>
    <sheet name="Feuil2" sheetId="10" r:id="rId5"/>
    <sheet name="Meta" sheetId="5" r:id="rId6"/>
    <sheet name="Metadata" sheetId="11" r:id="rId7"/>
    <sheet name="Feuil1" sheetId="12" r:id="rId8"/>
    <sheet name="meta_2022&amp;2023" sheetId="13" r:id="rId9"/>
    <sheet name="Biomol" sheetId="7" r:id="rId10"/>
    <sheet name="Acknowlegments" sheetId="9" r:id="rId11"/>
  </sheets>
  <definedNames>
    <definedName name="_xlnm.Print_Area" localSheetId="3">SamplingGuide!$A$1:$L$19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 a="1"/>
  <c r="A3" i="7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2" i="1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C18" i="2"/>
  <c r="E18" i="2" s="1"/>
  <c r="C17" i="2"/>
  <c r="E17" i="2" s="1"/>
  <c r="C16" i="2"/>
  <c r="E16" i="2" s="1"/>
  <c r="C15" i="2"/>
  <c r="E15" i="2" s="1"/>
  <c r="C14" i="2"/>
  <c r="E14" i="2" s="1"/>
  <c r="C13" i="2"/>
  <c r="E13" i="2" s="1"/>
  <c r="D16" i="2" l="1"/>
  <c r="F16" i="2" s="1"/>
  <c r="D14" i="2"/>
  <c r="F14" i="2" s="1"/>
  <c r="D18" i="2"/>
  <c r="F18" i="2" s="1"/>
  <c r="D13" i="2"/>
  <c r="F13" i="2" s="1"/>
  <c r="D15" i="2"/>
  <c r="F15" i="2" s="1"/>
  <c r="D17" i="2"/>
  <c r="F17" i="2" s="1"/>
  <c r="D44" i="2"/>
  <c r="F19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<sst xmlns="http://schemas.openxmlformats.org/spreadsheetml/2006/main" count="14132" uniqueCount="1419">
  <si>
    <t>Verger</t>
  </si>
  <si>
    <t>Code</t>
  </si>
  <si>
    <t>Adresse</t>
  </si>
  <si>
    <t>Téléphone</t>
  </si>
  <si>
    <t>Email</t>
  </si>
  <si>
    <t>Contact</t>
  </si>
  <si>
    <t>Site Web</t>
  </si>
  <si>
    <t>Échantillonnage</t>
  </si>
  <si>
    <t>La Pommalbonne</t>
  </si>
  <si>
    <t>PMB</t>
  </si>
  <si>
    <t>6291 Rte Louis-S.-Saint-Laurent, Compton, QC J0B 1L0</t>
  </si>
  <si>
    <t>vergerlapommalbonne@gmail.com</t>
  </si>
  <si>
    <t>David Lafond</t>
  </si>
  <si>
    <t xml:space="preserve">https://www.lapommalbonne.com/copie-de-accueil-1 </t>
  </si>
  <si>
    <t>A2020
E2021</t>
  </si>
  <si>
    <t>Abbaye de Saint-Benoit-du-Lac</t>
  </si>
  <si>
    <t>ASB</t>
  </si>
  <si>
    <t>1 Rue Principale, Saint-Benoît-du-Lac, Quebec J0B 2M0</t>
  </si>
  <si>
    <t>info-visiteur@abbaye.ca</t>
  </si>
  <si>
    <t xml:space="preserve">https://www.abbaye.ca/visiter-labbaye/vergers/ </t>
  </si>
  <si>
    <t>A2020</t>
  </si>
  <si>
    <t>Verger bio des sources</t>
  </si>
  <si>
    <t>VBS</t>
  </si>
  <si>
    <t>576 4e Rang, Saint-Georges-de-Windsor, QC J0A 1J0</t>
  </si>
  <si>
    <t>819-201-2211</t>
  </si>
  <si>
    <t>Samuel Mercier</t>
  </si>
  <si>
    <t xml:space="preserve">http://vergerbiodessources.ca/ </t>
  </si>
  <si>
    <t>E2022</t>
  </si>
  <si>
    <t>Cultivar</t>
  </si>
  <si>
    <t>Les moins sensibles</t>
  </si>
  <si>
    <t>Moyennement sensibles</t>
  </si>
  <si>
    <t>Très sensibles</t>
  </si>
  <si>
    <t>Pommier</t>
  </si>
  <si>
    <t>Enterprise</t>
  </si>
  <si>
    <t>Freedom</t>
  </si>
  <si>
    <t>Jonafree</t>
  </si>
  <si>
    <t>Liberty</t>
  </si>
  <si>
    <t>Macfree</t>
  </si>
  <si>
    <t>Northern Spy</t>
  </si>
  <si>
    <t>Red Delicious</t>
  </si>
  <si>
    <t>Redfree</t>
  </si>
  <si>
    <t>Ambrosia</t>
  </si>
  <si>
    <t>Cameo</t>
  </si>
  <si>
    <t>Cortland</t>
  </si>
  <si>
    <t>Creston</t>
  </si>
  <si>
    <t>Empire</t>
  </si>
  <si>
    <t>Golden Delicious</t>
  </si>
  <si>
    <t>Golden Supreme</t>
  </si>
  <si>
    <t>GoldRush</t>
  </si>
  <si>
    <t>Granny Smith</t>
  </si>
  <si>
    <t>Gravenstein</t>
  </si>
  <si>
    <t>Honeycrisp</t>
  </si>
  <si>
    <t>Jerseymac</t>
  </si>
  <si>
    <t>Macoun</t>
  </si>
  <si>
    <t>McIntosh</t>
  </si>
  <si>
    <t>Mutsu (Crispin)</t>
  </si>
  <si>
    <t>Nova Easygro</t>
  </si>
  <si>
    <t>Nova Mac</t>
  </si>
  <si>
    <t>Pioneer Mac</t>
  </si>
  <si>
    <t>Sansa</t>
  </si>
  <si>
    <t>Spartan</t>
  </si>
  <si>
    <t>Summered</t>
  </si>
  <si>
    <t>Sunrise</t>
  </si>
  <si>
    <t>Yataka</t>
  </si>
  <si>
    <t>Braeburn</t>
  </si>
  <si>
    <t>Fuji</t>
  </si>
  <si>
    <t>Gala et types Gala</t>
  </si>
  <si>
    <t>Ginger Gold</t>
  </si>
  <si>
    <t>Golden Russet</t>
  </si>
  <si>
    <t>Idared</t>
  </si>
  <si>
    <t>Jonagold</t>
  </si>
  <si>
    <t>Jonathan</t>
  </si>
  <si>
    <t>Lodi</t>
  </si>
  <si>
    <t>Mutsu</t>
  </si>
  <si>
    <t>Paulared</t>
  </si>
  <si>
    <t>Pink Lady</t>
  </si>
  <si>
    <t>Rome</t>
  </si>
  <si>
    <t>Rome Beauty</t>
  </si>
  <si>
    <t>Spigold</t>
  </si>
  <si>
    <t>Tydeman</t>
  </si>
  <si>
    <t>Wealthy</t>
  </si>
  <si>
    <t>Winter Banana</t>
  </si>
  <si>
    <t>Yellow Transparent</t>
  </si>
  <si>
    <t>https://www.agrireseau.net/documents/Document_105431.pdf</t>
  </si>
  <si>
    <t>https://agriculture.canada.ca/fr/production-agricole/lutte-antiparasitaire-agriculture/ressources-matiere-lutte-antiparasitaire-agriculture/lutte-integree-contre-feu-bacterien-pomme-poire-au-canada</t>
  </si>
  <si>
    <t>Très sensible</t>
  </si>
  <si>
    <t>Sensible</t>
  </si>
  <si>
    <t>Peu sensible</t>
  </si>
  <si>
    <r>
      <rPr>
        <sz val="11"/>
        <color theme="7"/>
        <rFont val="Calibri"/>
        <family val="2"/>
        <scheme val="minor"/>
      </rPr>
      <t>Honeycrisp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7"/>
        <rFont val="Calibri"/>
        <family val="2"/>
        <scheme val="minor"/>
      </rPr>
      <t>Spartan</t>
    </r>
    <r>
      <rPr>
        <sz val="11"/>
        <color theme="1"/>
        <rFont val="Calibri"/>
        <family val="2"/>
        <scheme val="minor"/>
      </rPr>
      <t>, Lobo, Zestar</t>
    </r>
  </si>
  <si>
    <r>
      <rPr>
        <sz val="11"/>
        <color rgb="FFFF0000"/>
        <rFont val="Calibri"/>
        <family val="2"/>
        <scheme val="minor"/>
      </rPr>
      <t>Paulared</t>
    </r>
    <r>
      <rPr>
        <sz val="11"/>
        <color theme="1"/>
        <rFont val="Calibri"/>
        <family val="2"/>
        <scheme val="minor"/>
      </rPr>
      <t xml:space="preserve">, JerseyMac, Gala, </t>
    </r>
    <r>
      <rPr>
        <sz val="11"/>
        <color rgb="FFFF0000"/>
        <rFont val="Calibri"/>
        <family val="2"/>
        <scheme val="minor"/>
      </rPr>
      <t>Cortland</t>
    </r>
    <r>
      <rPr>
        <sz val="11"/>
        <color theme="1"/>
        <rFont val="Calibri"/>
        <family val="2"/>
        <scheme val="minor"/>
      </rPr>
      <t>, GingerGold, JonaGold, GoldenRusset</t>
    </r>
  </si>
  <si>
    <t>Cidrerie Compton</t>
  </si>
  <si>
    <t>Cidrerie Milton Bio</t>
  </si>
  <si>
    <t>Cidrerie Milton Con</t>
  </si>
  <si>
    <r>
      <t>Delicieuse,</t>
    </r>
    <r>
      <rPr>
        <sz val="11"/>
        <color theme="9"/>
        <rFont val="Calibri"/>
        <family val="2"/>
        <scheme val="minor"/>
      </rPr>
      <t xml:space="preserve"> Empire, Liberty, McIntosh</t>
    </r>
  </si>
  <si>
    <t>MIB</t>
  </si>
  <si>
    <t>MIC</t>
  </si>
  <si>
    <t>COM</t>
  </si>
  <si>
    <t>Susceptible: Braeburn, Fuji, Gala, Ginger Gold, Idared, Jonagold, Rome, Winter Banana</t>
  </si>
  <si>
    <t>https://www2.gov.bc.ca/gov/content/industry/agriculture-seafood/animals-and-crops/plant-health/insects-and-plant-diseases/tree-fruits/fire-blight#:~:text=Most%20Resistant%3A%20Red%20Delicious%2C%20Liberty,%2C%20Jonagold%2C%20Rome%2C%20Winter%20Banana</t>
  </si>
  <si>
    <r>
      <t xml:space="preserve">Most Resistant:  Red Delicious, </t>
    </r>
    <r>
      <rPr>
        <sz val="12"/>
        <color theme="9"/>
        <rFont val="Noto Sans"/>
        <family val="2"/>
      </rPr>
      <t>Liberty, Enterprise, Freedom</t>
    </r>
  </si>
  <si>
    <r>
      <t>Moderately Resistant: Golden Delicious,</t>
    </r>
    <r>
      <rPr>
        <sz val="12"/>
        <color theme="7"/>
        <rFont val="Noto Sans"/>
        <family val="2"/>
      </rPr>
      <t> Empire</t>
    </r>
    <r>
      <rPr>
        <sz val="12"/>
        <color rgb="FF313132"/>
        <rFont val="Noto Sans"/>
        <family val="2"/>
      </rPr>
      <t>, Granny Smith, </t>
    </r>
    <r>
      <rPr>
        <sz val="12"/>
        <color theme="7"/>
        <rFont val="Noto Sans"/>
        <family val="2"/>
      </rPr>
      <t>McIntosh</t>
    </r>
    <r>
      <rPr>
        <sz val="12"/>
        <color rgb="FF313132"/>
        <rFont val="Noto Sans"/>
        <family val="2"/>
      </rPr>
      <t>, Mutsu,</t>
    </r>
    <r>
      <rPr>
        <sz val="12"/>
        <color theme="7"/>
        <rFont val="Noto Sans"/>
        <family val="2"/>
      </rPr>
      <t> Spartan</t>
    </r>
    <r>
      <rPr>
        <sz val="12"/>
        <color rgb="FF313132"/>
        <rFont val="Noto Sans"/>
        <family val="2"/>
      </rPr>
      <t>, Summerred, GoldRush, Nova Easygro</t>
    </r>
  </si>
  <si>
    <t>348 Rue Principale, Sainte-Cécile-de-Milton, QC J0E 2C0</t>
  </si>
  <si>
    <t>Royal Cortland</t>
  </si>
  <si>
    <t>Lobo</t>
  </si>
  <si>
    <t>Belmac</t>
  </si>
  <si>
    <t>Gala</t>
  </si>
  <si>
    <t>Abbaye Saint-Benoit</t>
  </si>
  <si>
    <t xml:space="preserve">https://blogs.cornell.edu/khanlab/extension/fire-blight-susceptibility-of-common-apple-cultivars/ </t>
  </si>
  <si>
    <t xml:space="preserve">https://www.extension.purdue.edu/extmedia/BP/BP-132-W.pdf </t>
  </si>
  <si>
    <t>6360 Rte Louis-S.-Saint-Laurent, Compton, QC J0B 1L0</t>
  </si>
  <si>
    <t xml:space="preserve">cidrerie.compton@gmail.com </t>
  </si>
  <si>
    <t>819-674-9159</t>
  </si>
  <si>
    <t xml:space="preserve">Dominic Perron </t>
  </si>
  <si>
    <t>Pratique</t>
  </si>
  <si>
    <t>milton bio vs conv</t>
  </si>
  <si>
    <t xml:space="preserve">Empire </t>
  </si>
  <si>
    <t>Effet site (tous les vergers)</t>
  </si>
  <si>
    <t>Honeycrisp + Spartan</t>
  </si>
  <si>
    <t xml:space="preserve">Liberty </t>
  </si>
  <si>
    <t>pommalbonne vs compton</t>
  </si>
  <si>
    <t>819-620-2757</t>
  </si>
  <si>
    <t># Cultivars</t>
  </si>
  <si>
    <t>VERGERS</t>
  </si>
  <si>
    <t>CULTIVARS</t>
  </si>
  <si>
    <t>(x3) temps</t>
  </si>
  <si>
    <t>(x3) arbres</t>
  </si>
  <si>
    <t>Total</t>
  </si>
  <si>
    <t>(+1x) fleur</t>
  </si>
  <si>
    <t>On refait le design de l'année passée pour comparer entre les années (Cortland, Paulared, Liberty)</t>
  </si>
  <si>
    <t>Cidrerie Compton sera utilisé pour comparer les pratiques avec La Pommalbonne (1ère paire d'observation)</t>
  </si>
  <si>
    <t>Milton Bio sera utilisé pour comparer les pratiques avec Milton Con (2e paire d'observation)</t>
  </si>
  <si>
    <t>On pourra comparer les deux paires puisqu'on a 4 cultivars communs (Honeycrisp, Spartan, Empire, Sunrise)</t>
  </si>
  <si>
    <t>Pour évaluer l'effet des niveaux de susceptibilité on retire Cidrerie Compton</t>
  </si>
  <si>
    <t>Niveau élevé sera: Cortland et Paulared</t>
  </si>
  <si>
    <t>Niveau moyen sera: Honeycrisp et Spartan</t>
  </si>
  <si>
    <t>Niveau faible sera: Liberty et Empire (sauf chez Bio des Sources où Empire sera remplacé par Freedom)</t>
  </si>
  <si>
    <t>Si on veut inclure Cidrerie Compton dans l'effet site, on pourrait comparer avec Honeycrisp et Spartan seulement</t>
  </si>
  <si>
    <t>Pour évaluer l'effet site, on retire la Cidrerie Compton</t>
  </si>
  <si>
    <t>CL</t>
  </si>
  <si>
    <t>PR</t>
  </si>
  <si>
    <t>HC</t>
  </si>
  <si>
    <t>SP</t>
  </si>
  <si>
    <t>LI</t>
  </si>
  <si>
    <t>EM</t>
  </si>
  <si>
    <t>FR</t>
  </si>
  <si>
    <t>SR</t>
  </si>
  <si>
    <t>Mai</t>
  </si>
  <si>
    <t>Juillet</t>
  </si>
  <si>
    <t>Août</t>
  </si>
  <si>
    <t>ORCHARDS</t>
  </si>
  <si>
    <t>SITE</t>
  </si>
  <si>
    <t>Flower</t>
  </si>
  <si>
    <t>Leaf</t>
  </si>
  <si>
    <t>FL</t>
  </si>
  <si>
    <t>LE</t>
  </si>
  <si>
    <t>TIME</t>
  </si>
  <si>
    <t>TYPE</t>
  </si>
  <si>
    <t>Tree 1</t>
  </si>
  <si>
    <t>Tree 2</t>
  </si>
  <si>
    <t>Tree 3</t>
  </si>
  <si>
    <t>REPLICATE</t>
  </si>
  <si>
    <t>Sample 3 trees from each cultivar</t>
  </si>
  <si>
    <t>ex. 1-PMB-CL-LE-2</t>
  </si>
  <si>
    <r>
      <rPr>
        <b/>
        <sz val="12"/>
        <color theme="1"/>
        <rFont val="Calibri"/>
        <family val="2"/>
        <scheme val="minor"/>
      </rPr>
      <t>Identify bags</t>
    </r>
    <r>
      <rPr>
        <sz val="12"/>
        <color theme="1"/>
        <rFont val="Calibri"/>
        <family val="2"/>
        <scheme val="minor"/>
      </rPr>
      <t xml:space="preserve"> with sample ID (Time-Site-Cultivar-Type-Replicate)</t>
    </r>
  </si>
  <si>
    <t>May: Sample flowers and leaves seperately</t>
  </si>
  <si>
    <t>Change gloves and sterilize with EtOH 70% between each tree</t>
  </si>
  <si>
    <t>SAMPLING 2023</t>
  </si>
  <si>
    <t>Try your best not to touch the trees with other parts of your body</t>
  </si>
  <si>
    <r>
      <t>May:</t>
    </r>
    <r>
      <rPr>
        <b/>
        <sz val="12"/>
        <color theme="1"/>
        <rFont val="Calibri"/>
        <family val="2"/>
        <scheme val="minor"/>
      </rPr>
      <t xml:space="preserve"> identify trees</t>
    </r>
    <r>
      <rPr>
        <sz val="12"/>
        <color theme="1"/>
        <rFont val="Calibri"/>
        <family val="2"/>
        <scheme val="minor"/>
      </rPr>
      <t xml:space="preserve"> with a flagging tape (UdeS-Cultivar-Replicate)</t>
    </r>
  </si>
  <si>
    <t>ex. UdeS-CL-2</t>
  </si>
  <si>
    <t xml:space="preserve">sample </t>
  </si>
  <si>
    <t>seq</t>
  </si>
  <si>
    <t>date</t>
  </si>
  <si>
    <t>time</t>
  </si>
  <si>
    <t>orchard</t>
  </si>
  <si>
    <t>site</t>
  </si>
  <si>
    <t>code</t>
  </si>
  <si>
    <t>cultivar</t>
  </si>
  <si>
    <t>type</t>
  </si>
  <si>
    <t>replicate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</si>
  <si>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</si>
  <si>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</si>
  <si>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</si>
  <si>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</si>
  <si>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</si>
  <si>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</si>
  <si>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</si>
  <si>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</si>
  <si>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</si>
  <si>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</si>
  <si>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23-11</t>
  </si>
  <si>
    <t>23-12</t>
  </si>
  <si>
    <t>23-13</t>
  </si>
  <si>
    <t>23-14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</si>
  <si>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</si>
  <si>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</si>
  <si>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</si>
  <si>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</si>
  <si>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</si>
  <si>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</si>
  <si>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</si>
  <si>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</si>
  <si>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23-23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</si>
  <si>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</si>
  <si>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</si>
  <si>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</si>
  <si>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</si>
  <si>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</si>
  <si>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</si>
  <si>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</si>
  <si>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</si>
  <si>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23-32</t>
  </si>
  <si>
    <t>23-33</t>
  </si>
  <si>
    <t>23-34</t>
  </si>
  <si>
    <t>23-35</t>
  </si>
  <si>
    <t>23-36</t>
  </si>
  <si>
    <t>23-37</t>
  </si>
  <si>
    <t>23-38</t>
  </si>
  <si>
    <t>23-39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</si>
  <si>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</si>
  <si>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</si>
  <si>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</si>
  <si>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</si>
  <si>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</si>
  <si>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</si>
  <si>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</si>
  <si>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</si>
  <si>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</si>
  <si>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</si>
  <si>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</si>
  <si>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23-51</t>
  </si>
  <si>
    <t>23-52</t>
  </si>
  <si>
    <t>23-53</t>
  </si>
  <si>
    <t>23-54</t>
  </si>
  <si>
    <t>23-55</t>
  </si>
  <si>
    <t>23-56</t>
  </si>
  <si>
    <t>23-57</t>
  </si>
  <si>
    <t>23-58</t>
  </si>
  <si>
    <t>23-59</t>
  </si>
  <si>
    <t>23-60</t>
  </si>
  <si>
    <t>23-61</t>
  </si>
  <si>
    <t>23-62</t>
  </si>
  <si>
    <t>23-63</t>
  </si>
  <si>
    <t>23-64</t>
  </si>
  <si>
    <t>23-65</t>
  </si>
  <si>
    <t>23-66</t>
  </si>
  <si>
    <t>23-67</t>
  </si>
  <si>
    <t>23-68</t>
  </si>
  <si>
    <t>23-69</t>
  </si>
  <si>
    <t>23-70</t>
  </si>
  <si>
    <t>23-71</t>
  </si>
  <si>
    <t>23-72</t>
  </si>
  <si>
    <t>23-73</t>
  </si>
  <si>
    <t>23-74</t>
  </si>
  <si>
    <t>23-75</t>
  </si>
  <si>
    <t>23-76</t>
  </si>
  <si>
    <t>23-77</t>
  </si>
  <si>
    <t>23-78</t>
  </si>
  <si>
    <t>23-79</t>
  </si>
  <si>
    <t>23-80</t>
  </si>
  <si>
    <t>23-81</t>
  </si>
  <si>
    <t>23-82</t>
  </si>
  <si>
    <t>23-83</t>
  </si>
  <si>
    <t>23-84</t>
  </si>
  <si>
    <t>23-85</t>
  </si>
  <si>
    <t>23-86</t>
  </si>
  <si>
    <t>23-87</t>
  </si>
  <si>
    <t>23-88</t>
  </si>
  <si>
    <t>23-89</t>
  </si>
  <si>
    <t>23-90</t>
  </si>
  <si>
    <t>23-91</t>
  </si>
  <si>
    <t>23-92</t>
  </si>
  <si>
    <t>23-93</t>
  </si>
  <si>
    <t>23-94</t>
  </si>
  <si>
    <t>23-95</t>
  </si>
  <si>
    <t>23-96</t>
  </si>
  <si>
    <t>23-97</t>
  </si>
  <si>
    <t>23-98</t>
  </si>
  <si>
    <t>23-99</t>
  </si>
  <si>
    <t>23-100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</si>
  <si>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</si>
  <si>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</si>
  <si>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</si>
  <si>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</si>
  <si>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</si>
  <si>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</si>
  <si>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</si>
  <si>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</si>
  <si>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</si>
  <si>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</si>
  <si>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</si>
  <si>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</si>
  <si>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</si>
  <si>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</si>
  <si>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</si>
  <si>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</si>
  <si>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23-117</t>
  </si>
  <si>
    <t>23-118</t>
  </si>
  <si>
    <t>23-119</t>
  </si>
  <si>
    <t>23-120</t>
  </si>
  <si>
    <t>23-121</t>
  </si>
  <si>
    <t>23-122</t>
  </si>
  <si>
    <t>23-123</t>
  </si>
  <si>
    <t>23-124</t>
  </si>
  <si>
    <t>23-125</t>
  </si>
  <si>
    <t>23-126</t>
  </si>
  <si>
    <t>23-127</t>
  </si>
  <si>
    <t>23-128</t>
  </si>
  <si>
    <t>23-129</t>
  </si>
  <si>
    <t>23-130</t>
  </si>
  <si>
    <t>23-131</t>
  </si>
  <si>
    <t>23-132</t>
  </si>
  <si>
    <t>23-133</t>
  </si>
  <si>
    <t>23-134</t>
  </si>
  <si>
    <t>23-135</t>
  </si>
  <si>
    <t>23-136</t>
  </si>
  <si>
    <t>23-137</t>
  </si>
  <si>
    <t>23-138</t>
  </si>
  <si>
    <t>23-139</t>
  </si>
  <si>
    <t>23-140</t>
  </si>
  <si>
    <t>23-141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</si>
  <si>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</si>
  <si>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</si>
  <si>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</si>
  <si>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</si>
  <si>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</si>
  <si>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</si>
  <si>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</si>
  <si>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</si>
  <si>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23-150</t>
  </si>
  <si>
    <t>23-151</t>
  </si>
  <si>
    <t>23-152</t>
  </si>
  <si>
    <t>23-153</t>
  </si>
  <si>
    <t>23-154</t>
  </si>
  <si>
    <t>23-155</t>
  </si>
  <si>
    <t>23-156</t>
  </si>
  <si>
    <t>23-157</t>
  </si>
  <si>
    <t>23-158</t>
  </si>
  <si>
    <t>23-159</t>
  </si>
  <si>
    <t>23-160</t>
  </si>
  <si>
    <t>23-161</t>
  </si>
  <si>
    <t>23-162</t>
  </si>
  <si>
    <t>23-163</t>
  </si>
  <si>
    <t>23-164</t>
  </si>
  <si>
    <t>23-165</t>
  </si>
  <si>
    <t>23-166</t>
  </si>
  <si>
    <t>23-167</t>
  </si>
  <si>
    <t>23-168</t>
  </si>
  <si>
    <t>23-169</t>
  </si>
  <si>
    <t>23-170</t>
  </si>
  <si>
    <t>23-171</t>
  </si>
  <si>
    <t>23-172</t>
  </si>
  <si>
    <t>23-173</t>
  </si>
  <si>
    <t>23-174</t>
  </si>
  <si>
    <t>23-175</t>
  </si>
  <si>
    <t>23-176</t>
  </si>
  <si>
    <t>23-177</t>
  </si>
  <si>
    <t>23-178</t>
  </si>
  <si>
    <t>23-179</t>
  </si>
  <si>
    <t>23-180</t>
  </si>
  <si>
    <t>23-181</t>
  </si>
  <si>
    <t>23-182</t>
  </si>
  <si>
    <t>23-183</t>
  </si>
  <si>
    <t>23-184</t>
  </si>
  <si>
    <t>23-185</t>
  </si>
  <si>
    <t>23-186</t>
  </si>
  <si>
    <t>23-187</t>
  </si>
  <si>
    <t>23-188</t>
  </si>
  <si>
    <t>23-189</t>
  </si>
  <si>
    <t>23-190</t>
  </si>
  <si>
    <t>23-191</t>
  </si>
  <si>
    <t>23-192</t>
  </si>
  <si>
    <t>23-193</t>
  </si>
  <si>
    <t>23-194</t>
  </si>
  <si>
    <t>23-195</t>
  </si>
  <si>
    <t>23-196</t>
  </si>
  <si>
    <t>23-197</t>
  </si>
  <si>
    <t>23-198</t>
  </si>
  <si>
    <t>23-199</t>
  </si>
  <si>
    <t>23-200</t>
  </si>
  <si>
    <t>23-201</t>
  </si>
  <si>
    <t>23-202</t>
  </si>
  <si>
    <t>23-203</t>
  </si>
  <si>
    <t>23-204</t>
  </si>
  <si>
    <t>23-205</t>
  </si>
  <si>
    <t>23-206</t>
  </si>
  <si>
    <t>23-207</t>
  </si>
  <si>
    <t>23-208</t>
  </si>
  <si>
    <t>23-209</t>
  </si>
  <si>
    <t>23-210</t>
  </si>
  <si>
    <t>23-211</t>
  </si>
  <si>
    <t>23-212</t>
  </si>
  <si>
    <t>23-213</t>
  </si>
  <si>
    <t>23-214</t>
  </si>
  <si>
    <t>23-215</t>
  </si>
  <si>
    <t>23-216</t>
  </si>
  <si>
    <t>23-217</t>
  </si>
  <si>
    <t>23-218</t>
  </si>
  <si>
    <t>23-219</t>
  </si>
  <si>
    <t>23-220</t>
  </si>
  <si>
    <t>23-221</t>
  </si>
  <si>
    <t>23-222</t>
  </si>
  <si>
    <t>23-223</t>
  </si>
  <si>
    <t>23-224</t>
  </si>
  <si>
    <t>23-225</t>
  </si>
  <si>
    <t>23-226</t>
  </si>
  <si>
    <t>23-227</t>
  </si>
  <si>
    <t>23-228</t>
  </si>
  <si>
    <t>23-229</t>
  </si>
  <si>
    <t>23-230</t>
  </si>
  <si>
    <t>23-231</t>
  </si>
  <si>
    <t>23-232</t>
  </si>
  <si>
    <t>23-233</t>
  </si>
  <si>
    <t>23-234</t>
  </si>
  <si>
    <t>23-235</t>
  </si>
  <si>
    <t>23-236</t>
  </si>
  <si>
    <t>23-237</t>
  </si>
  <si>
    <t>23-238</t>
  </si>
  <si>
    <t>23-239</t>
  </si>
  <si>
    <t>23-240</t>
  </si>
  <si>
    <t>23-241</t>
  </si>
  <si>
    <t>23-242</t>
  </si>
  <si>
    <t>23-243</t>
  </si>
  <si>
    <t>23-244</t>
  </si>
  <si>
    <t>23-245</t>
  </si>
  <si>
    <t>23-246</t>
  </si>
  <si>
    <t>23-247</t>
  </si>
  <si>
    <t>23-248</t>
  </si>
  <si>
    <t>23-249</t>
  </si>
  <si>
    <t>23-250</t>
  </si>
  <si>
    <t>23-251</t>
  </si>
  <si>
    <t>23-252</t>
  </si>
  <si>
    <t>23-253</t>
  </si>
  <si>
    <t>23-254</t>
  </si>
  <si>
    <t>23-255</t>
  </si>
  <si>
    <t>23-256</t>
  </si>
  <si>
    <t>23-257</t>
  </si>
  <si>
    <t>23-258</t>
  </si>
  <si>
    <t>23-259</t>
  </si>
  <si>
    <t>23-260</t>
  </si>
  <si>
    <t>23-261</t>
  </si>
  <si>
    <t>23-262</t>
  </si>
  <si>
    <t>23-263</t>
  </si>
  <si>
    <t>23-264</t>
  </si>
  <si>
    <t>23-265</t>
  </si>
  <si>
    <t>23-266</t>
  </si>
  <si>
    <t>23-267</t>
  </si>
  <si>
    <t>23-268</t>
  </si>
  <si>
    <t>23-269</t>
  </si>
  <si>
    <t>23-270</t>
  </si>
  <si>
    <t>23-271</t>
  </si>
  <si>
    <t>23-272</t>
  </si>
  <si>
    <t>23-273</t>
  </si>
  <si>
    <t>23-274</t>
  </si>
  <si>
    <t>23-275</t>
  </si>
  <si>
    <t>23-276</t>
  </si>
  <si>
    <t>23-277</t>
  </si>
  <si>
    <t>23-278</t>
  </si>
  <si>
    <t>23-279</t>
  </si>
  <si>
    <t>23-280</t>
  </si>
  <si>
    <t>23-281</t>
  </si>
  <si>
    <t>23-282</t>
  </si>
  <si>
    <t>23-283</t>
  </si>
  <si>
    <t>23-284</t>
  </si>
  <si>
    <t>23-285</t>
  </si>
  <si>
    <t>23-286</t>
  </si>
  <si>
    <t>23-287</t>
  </si>
  <si>
    <t>23-288</t>
  </si>
  <si>
    <t>23-289</t>
  </si>
  <si>
    <t>23-290</t>
  </si>
  <si>
    <t>23-291</t>
  </si>
  <si>
    <t>23-292</t>
  </si>
  <si>
    <t>23-293</t>
  </si>
  <si>
    <t>23-294</t>
  </si>
  <si>
    <t>23-295</t>
  </si>
  <si>
    <t>23-296</t>
  </si>
  <si>
    <t>23-297</t>
  </si>
  <si>
    <t>23-298</t>
  </si>
  <si>
    <t>23-299</t>
  </si>
  <si>
    <t>23-300</t>
  </si>
  <si>
    <t>23-301</t>
  </si>
  <si>
    <t>23-302</t>
  </si>
  <si>
    <t>23-303</t>
  </si>
  <si>
    <t>23-304</t>
  </si>
  <si>
    <t>23-305</t>
  </si>
  <si>
    <t>23-306</t>
  </si>
  <si>
    <t>23-307</t>
  </si>
  <si>
    <t>23-308</t>
  </si>
  <si>
    <t>23-309</t>
  </si>
  <si>
    <t>23-310</t>
  </si>
  <si>
    <t>23-311</t>
  </si>
  <si>
    <t>23-312</t>
  </si>
  <si>
    <t>23-313</t>
  </si>
  <si>
    <t>23-314</t>
  </si>
  <si>
    <t>23-315</t>
  </si>
  <si>
    <t>23-316</t>
  </si>
  <si>
    <t>23-317</t>
  </si>
  <si>
    <t>23-318</t>
  </si>
  <si>
    <t>23-319</t>
  </si>
  <si>
    <t>23-320</t>
  </si>
  <si>
    <t>23-321</t>
  </si>
  <si>
    <t>23-322</t>
  </si>
  <si>
    <t>23-323</t>
  </si>
  <si>
    <t>23-324</t>
  </si>
  <si>
    <t>23-325</t>
  </si>
  <si>
    <t>23-326</t>
  </si>
  <si>
    <t>23-327</t>
  </si>
  <si>
    <t>23-328</t>
  </si>
  <si>
    <t>23-329</t>
  </si>
  <si>
    <t>23-330</t>
  </si>
  <si>
    <t>23-331</t>
  </si>
  <si>
    <t>23-332</t>
  </si>
  <si>
    <t>23-333</t>
  </si>
  <si>
    <t>23-334</t>
  </si>
  <si>
    <t>23-335</t>
  </si>
  <si>
    <t>23-336</t>
  </si>
  <si>
    <t>23-337</t>
  </si>
  <si>
    <t>23-338</t>
  </si>
  <si>
    <t>23-339</t>
  </si>
  <si>
    <t>23-340</t>
  </si>
  <si>
    <t>23-341</t>
  </si>
  <si>
    <t>23-342</t>
  </si>
  <si>
    <t>23-343</t>
  </si>
  <si>
    <t>23-344</t>
  </si>
  <si>
    <t>23-345</t>
  </si>
  <si>
    <t>23-346</t>
  </si>
  <si>
    <t>23-347</t>
  </si>
  <si>
    <t>23-348</t>
  </si>
  <si>
    <t>23-349</t>
  </si>
  <si>
    <t>23-350</t>
  </si>
  <si>
    <t>23-351</t>
  </si>
  <si>
    <t>23-352</t>
  </si>
  <si>
    <t>23-353</t>
  </si>
  <si>
    <t>23-354</t>
  </si>
  <si>
    <t>23-355</t>
  </si>
  <si>
    <t>23-356</t>
  </si>
  <si>
    <t>23-357</t>
  </si>
  <si>
    <t>23-358</t>
  </si>
  <si>
    <t>23-359</t>
  </si>
  <si>
    <t>23-360</t>
  </si>
  <si>
    <t>23-361</t>
  </si>
  <si>
    <t>23-362</t>
  </si>
  <si>
    <t>23-363</t>
  </si>
  <si>
    <t>D1</t>
  </si>
  <si>
    <t>D2</t>
  </si>
  <si>
    <t>B1</t>
  </si>
  <si>
    <t>B2</t>
  </si>
  <si>
    <t>C</t>
  </si>
  <si>
    <t>A</t>
  </si>
  <si>
    <t>Verger Bio des Sources</t>
  </si>
  <si>
    <t>Cidrerie Milton (Biologique)</t>
  </si>
  <si>
    <t>Abbaye St-Benoit</t>
  </si>
  <si>
    <t>Cidrerie Milton (Conventionnel)</t>
  </si>
  <si>
    <t>may</t>
  </si>
  <si>
    <t>july</t>
  </si>
  <si>
    <t>august</t>
  </si>
  <si>
    <t>1-ASB-CL-FL-1</t>
  </si>
  <si>
    <t>1-ASB-CL-LE-1</t>
  </si>
  <si>
    <t>2-ASB-CL-LE-2</t>
  </si>
  <si>
    <t>3-ASB-CL-LE-3</t>
  </si>
  <si>
    <t>1-ASB-CL-FL-2</t>
  </si>
  <si>
    <t>1-ASB-CL-LE-2</t>
  </si>
  <si>
    <t>1-ASB-CL-FL-3</t>
  </si>
  <si>
    <t>1-ASB-CL-LE-3</t>
  </si>
  <si>
    <t>1-ASB-PR-FL-1</t>
  </si>
  <si>
    <t>1-ASB-PR-LE-1</t>
  </si>
  <si>
    <t>2-ASB-PR-LE-2</t>
  </si>
  <si>
    <t>3-ASB-PR-LE-3</t>
  </si>
  <si>
    <t>1-ASB-HC-FL-1</t>
  </si>
  <si>
    <t>1-ASB-HC-LE-1</t>
  </si>
  <si>
    <t>2-ASB-HC-LE-2</t>
  </si>
  <si>
    <t>3-ASB-HC-LE-3</t>
  </si>
  <si>
    <t>1-ASB-PR-FL-2</t>
  </si>
  <si>
    <t>1-ASB-PR-LE-2</t>
  </si>
  <si>
    <t>1-ASB-PR-FL-3</t>
  </si>
  <si>
    <t>1-ASB-PR-LE-3</t>
  </si>
  <si>
    <t>1-ASB-HC-FL-2</t>
  </si>
  <si>
    <t>1-ASB-HC-LE-2</t>
  </si>
  <si>
    <t>1-ASB-HC-FL-3</t>
  </si>
  <si>
    <t>1-ASB-HC-LE-3</t>
  </si>
  <si>
    <t>1-ASB-SP-FL-1</t>
  </si>
  <si>
    <t>1-ASB-SP-LE-1</t>
  </si>
  <si>
    <t>2-ASB-SP-LE-2</t>
  </si>
  <si>
    <t>3-ASB-SP-LE-3</t>
  </si>
  <si>
    <t>1-ASB-LI-FL-1</t>
  </si>
  <si>
    <t>1-ASB-LI-LE-1</t>
  </si>
  <si>
    <t>2-ASB-LI-LE-2</t>
  </si>
  <si>
    <t>3-ASB-LI-LE-3</t>
  </si>
  <si>
    <t>1-ASB-EM-FL-1</t>
  </si>
  <si>
    <t>1-ASB-EM-LE-1</t>
  </si>
  <si>
    <t>2-ASB-EM-LE-2</t>
  </si>
  <si>
    <t>3-ASB-EM-LE-3</t>
  </si>
  <si>
    <t>1-ASB-SP-FL-2</t>
  </si>
  <si>
    <t>1-ASB-SP-LE-2</t>
  </si>
  <si>
    <t>1-ASB-SP-FL-3</t>
  </si>
  <si>
    <t>1-ASB-SP-LE-3</t>
  </si>
  <si>
    <t>1-ASB-LI-FL-2</t>
  </si>
  <si>
    <t>1-ASB-LI-LE-2</t>
  </si>
  <si>
    <t>1-ASB-LI-FL-3</t>
  </si>
  <si>
    <t>1-ASB-LI-LE-3</t>
  </si>
  <si>
    <t>1-ASB-EM-FL-2</t>
  </si>
  <si>
    <t>1-ASB-EM-LE-2</t>
  </si>
  <si>
    <t>1-ASB-EM-FL-3</t>
  </si>
  <si>
    <t>1-ASB-EM-LE-3</t>
  </si>
  <si>
    <t>1-PMB-CL-FL-1</t>
  </si>
  <si>
    <t>1-PMB-CL-LE-1</t>
  </si>
  <si>
    <t>2-PMB-CL-LE-2</t>
  </si>
  <si>
    <t>3-PMB-CL-LE-3</t>
  </si>
  <si>
    <t>1-PMB-CL-FL-2</t>
  </si>
  <si>
    <t>1-PMB-CL-LE-2</t>
  </si>
  <si>
    <t>1-PMB-CL-FL-3</t>
  </si>
  <si>
    <t>1-PMB-CL-LE-3</t>
  </si>
  <si>
    <t>1-PMB-PR-FL-1</t>
  </si>
  <si>
    <t>2-PMB-PR-LE-2</t>
  </si>
  <si>
    <t>3-PMB-PR-LE-3</t>
  </si>
  <si>
    <t>1-PMP-PR-LE-1</t>
  </si>
  <si>
    <t>1-PMB-PR-FL-2</t>
  </si>
  <si>
    <t>1-PMP-PR-LE-2</t>
  </si>
  <si>
    <t>1-PMB-PR-FL-3</t>
  </si>
  <si>
    <t>1-PMB-PR-LE-3</t>
  </si>
  <si>
    <t>1-PMB-HC-FL-1</t>
  </si>
  <si>
    <t>1-PMB-HC-LE-1</t>
  </si>
  <si>
    <t>2-PMB-HC-LE-2</t>
  </si>
  <si>
    <t>3-PMB-HC-LE-3</t>
  </si>
  <si>
    <t>1-PMB-HC-FL-2</t>
  </si>
  <si>
    <t>1-PMB-HC-LE-2</t>
  </si>
  <si>
    <t>1-PMB-HC-FL-3</t>
  </si>
  <si>
    <t>1-PMB-HC-LE-3</t>
  </si>
  <si>
    <t>1-PMB-SP-FL-1</t>
  </si>
  <si>
    <t>1-PMB-SP-LE-1</t>
  </si>
  <si>
    <t>2-PMB-SP-LE-2</t>
  </si>
  <si>
    <t>3-PMB-SP-LE-3</t>
  </si>
  <si>
    <t>1-PMB-LI-FL-1</t>
  </si>
  <si>
    <t>1-PMB-LI-LE-1</t>
  </si>
  <si>
    <t>2-PMB-LI-LE-2</t>
  </si>
  <si>
    <t>3-PMB-LI-LE-3</t>
  </si>
  <si>
    <t>1-PMB-EM-FL-1</t>
  </si>
  <si>
    <t>1-PMB-EM-LE-1</t>
  </si>
  <si>
    <t>2-PMB-EM-LE-2</t>
  </si>
  <si>
    <t>3-PMB-EM-LE-3</t>
  </si>
  <si>
    <t>1-COM-SP-FL-1</t>
  </si>
  <si>
    <t>1-COM-SP-LE-1</t>
  </si>
  <si>
    <t>2-COM-SP-LE-2</t>
  </si>
  <si>
    <t>3-COM-SP-LE-3</t>
  </si>
  <si>
    <t>1-COM-EM-FL-1</t>
  </si>
  <si>
    <t>1-COM-EM-LE-1</t>
  </si>
  <si>
    <t>2-COM-EM-LE-2</t>
  </si>
  <si>
    <t>3-COM-EM-LE-3</t>
  </si>
  <si>
    <t>1-VBS-SP-FL-1</t>
  </si>
  <si>
    <t>1-VBS-SP-LE-1</t>
  </si>
  <si>
    <t>2-VBS-SP-LE-2</t>
  </si>
  <si>
    <t>3-VBS-SP-LE-3</t>
  </si>
  <si>
    <t>1-VBS-LI-FL-1</t>
  </si>
  <si>
    <t>1-VBS-LI-LE-1</t>
  </si>
  <si>
    <t>2-VBS-LI-LE-2</t>
  </si>
  <si>
    <t>3-VBS-LI-LE-3</t>
  </si>
  <si>
    <t>1-VBS-FR-FL-1</t>
  </si>
  <si>
    <t>1-VBS-FR-LE-1</t>
  </si>
  <si>
    <t>2-VBS-FR-LE-2</t>
  </si>
  <si>
    <t>3-VBS-FR-LE-3</t>
  </si>
  <si>
    <t>1-MIC-SP-LE-1</t>
  </si>
  <si>
    <t>2-MIC-SP-LE-2</t>
  </si>
  <si>
    <t>3-MIC-SP-LE-3</t>
  </si>
  <si>
    <t>1-MIC-LI-LE-1</t>
  </si>
  <si>
    <t>2-MIC-LI-LE-2</t>
  </si>
  <si>
    <t>3-MIC-LI-LE-3</t>
  </si>
  <si>
    <t>1-MIC-EM-LE-1</t>
  </si>
  <si>
    <t>2-MIC-EM-LE-2</t>
  </si>
  <si>
    <t>3-MIC-EM-LE-3</t>
  </si>
  <si>
    <t>1-MIB-SP-LE-1</t>
  </si>
  <si>
    <t>2-MIB-SP-LE-2</t>
  </si>
  <si>
    <t>3-MIB-SP-LE-3</t>
  </si>
  <si>
    <t>1-MIB-LI-LE-1</t>
  </si>
  <si>
    <t>2-MIB-LI-LE-2</t>
  </si>
  <si>
    <t>3-MIB-LI-LE-3</t>
  </si>
  <si>
    <t>1-MIB-EM-LE-1</t>
  </si>
  <si>
    <t>2-MIB-EM-LE-2</t>
  </si>
  <si>
    <t>3-MIB-EM-LE-3</t>
  </si>
  <si>
    <t>1-PMB-SP-FL-2</t>
  </si>
  <si>
    <t>1-PMB-SP-LE-2</t>
  </si>
  <si>
    <t>1-PMB-SP-FL-3</t>
  </si>
  <si>
    <t>1-PMB-SP-LE-3</t>
  </si>
  <si>
    <t>1-PMB-LI-FL-2</t>
  </si>
  <si>
    <t>1-PMB-LI-LE-2</t>
  </si>
  <si>
    <t>1-PMB-LI-FL-3</t>
  </si>
  <si>
    <t>1-PMB-LI-LE-3</t>
  </si>
  <si>
    <t>1-PMB-EM-FL-2</t>
  </si>
  <si>
    <t>1-PMB-EM-LE-2</t>
  </si>
  <si>
    <t>1-PMB-EM-FL-3</t>
  </si>
  <si>
    <t>1-PMB-EM-LE-3</t>
  </si>
  <si>
    <t>2-COM-SP-LE-1</t>
  </si>
  <si>
    <t>2-COM-SP-LE-3</t>
  </si>
  <si>
    <t>1-PMB-SR-FL-1</t>
  </si>
  <si>
    <t>1-PMB-SR-LE-1</t>
  </si>
  <si>
    <t>2-PMB-SR-LE-2</t>
  </si>
  <si>
    <t>3-PMB-SR-LE-3</t>
  </si>
  <si>
    <t>1-COM-SR-FL-1</t>
  </si>
  <si>
    <t>1-COM-SR-LE-1</t>
  </si>
  <si>
    <t>2-COM-SR-LE-2</t>
  </si>
  <si>
    <t>3-COM-SR-LE-3</t>
  </si>
  <si>
    <t>1-PMB-SR-FL-2</t>
  </si>
  <si>
    <t>1-PMB-SR-LE-2</t>
  </si>
  <si>
    <t>1-PMB-SR-FL-3</t>
  </si>
  <si>
    <t>1-PMB-SR-LE-3</t>
  </si>
  <si>
    <t>1-COM-HC-LE-1</t>
  </si>
  <si>
    <t>2-COM-HC-LE-2</t>
  </si>
  <si>
    <t>3-COM-HC-LE-3</t>
  </si>
  <si>
    <t>1-COM-HC-LE-2</t>
  </si>
  <si>
    <t>1-COM-HC-LE-3</t>
  </si>
  <si>
    <t>1-COM-SP-FL-2</t>
  </si>
  <si>
    <t>1-COM-SP-LE-2</t>
  </si>
  <si>
    <t>1-COM-SP-FL-3</t>
  </si>
  <si>
    <t>1-COM-SP-LE-3</t>
  </si>
  <si>
    <t>1-COM-EM-FL-2</t>
  </si>
  <si>
    <t>1-COM-EM-LE-2</t>
  </si>
  <si>
    <t>1-COM-EM-FL-3</t>
  </si>
  <si>
    <t>1-COM-EM-LE-3</t>
  </si>
  <si>
    <t>1-COM-SR-FL-2</t>
  </si>
  <si>
    <t>1-COM-SR-LE-2</t>
  </si>
  <si>
    <t>1-COM-SR-FL-3</t>
  </si>
  <si>
    <t>1-COM-SR-LE-3</t>
  </si>
  <si>
    <t>1-VBS-CL-FL-1</t>
  </si>
  <si>
    <t>1-VBS-CL-LE-1</t>
  </si>
  <si>
    <t>2-VBS-CL-LE-2</t>
  </si>
  <si>
    <t>3-VBS-CL-LE-3</t>
  </si>
  <si>
    <t>1-VBS-CL-FL-2</t>
  </si>
  <si>
    <t>1-VBS-CL-LE-2</t>
  </si>
  <si>
    <t>1-VBS-CL-FL-3</t>
  </si>
  <si>
    <t>1-VBS-CL-LE-3</t>
  </si>
  <si>
    <t>1-VBS-PR-FL-1</t>
  </si>
  <si>
    <t>1-VBS-PR-LE-1</t>
  </si>
  <si>
    <t>2-VBS-PR-LE-2</t>
  </si>
  <si>
    <t>3-VBS-PR-LE-3</t>
  </si>
  <si>
    <t>1-VBS-PR-FL-2</t>
  </si>
  <si>
    <t>1-VBS-PR-LE-2</t>
  </si>
  <si>
    <t>1-VBS-PR-FL-3</t>
  </si>
  <si>
    <t>1-VBS-PR-LE-3</t>
  </si>
  <si>
    <t>1-VBS-HC-FL-1</t>
  </si>
  <si>
    <t>1-VBS-HC-LE-1</t>
  </si>
  <si>
    <t>2-VBS-HC-LE-2</t>
  </si>
  <si>
    <t>3-VBS-HC-LE-3</t>
  </si>
  <si>
    <t>1-VBS-HC-FL-2</t>
  </si>
  <si>
    <t>1-VBS-HC-LE-2</t>
  </si>
  <si>
    <t>1-VBS-HC-FL-3</t>
  </si>
  <si>
    <t>1-VBS-HC-LE-3</t>
  </si>
  <si>
    <t>1-VBS-SP-FL-2</t>
  </si>
  <si>
    <t>1-VBS-SP-LE-2</t>
  </si>
  <si>
    <t>1-VBS-SP-FL-3</t>
  </si>
  <si>
    <t>1-VBS-SP-LE-3</t>
  </si>
  <si>
    <t>1-VBS-LI-FL-2</t>
  </si>
  <si>
    <t>1-VBS-LI-LE-2</t>
  </si>
  <si>
    <t>1-VBS-LI-FL-3</t>
  </si>
  <si>
    <t>1-VBS-LI-LE-3</t>
  </si>
  <si>
    <t>1-VBS-FR-FL-2</t>
  </si>
  <si>
    <t>1-VBS-FR-LE-2</t>
  </si>
  <si>
    <t>1-VBS-FR-FL-3</t>
  </si>
  <si>
    <t>1-VBS-FR-LE-3</t>
  </si>
  <si>
    <t>1-MIC-CL-LE-1</t>
  </si>
  <si>
    <t>2-MIC-CL-LE-2</t>
  </si>
  <si>
    <t>3-MIC-CL-LE-3</t>
  </si>
  <si>
    <t>1-MIC-CL-LE-2</t>
  </si>
  <si>
    <t>1-MIC-CL-LE-3</t>
  </si>
  <si>
    <t>1-MIC-HC-LE-1</t>
  </si>
  <si>
    <t>2-MIC-HC-LE-2</t>
  </si>
  <si>
    <t>3-MIC-HC-LE-3</t>
  </si>
  <si>
    <t>1-MIC-HC-LE-2</t>
  </si>
  <si>
    <t>1-MIC-HC-LE-3</t>
  </si>
  <si>
    <t>1-MIC-SP-LE-2</t>
  </si>
  <si>
    <t>1-MIC-SP-LE-3</t>
  </si>
  <si>
    <t>1-MIC-LI-LE-2</t>
  </si>
  <si>
    <t>1-MIC-LI-LE-3</t>
  </si>
  <si>
    <t>1-MIC-EM-LE-2</t>
  </si>
  <si>
    <t>1-MIC-EM-LE-3</t>
  </si>
  <si>
    <t>1-MIB-CL-LE-1</t>
  </si>
  <si>
    <t>1-MIB-CL-LE-2</t>
  </si>
  <si>
    <t>1-MIB-CL-LE-3</t>
  </si>
  <si>
    <t>1-MIB-HC-LE-1</t>
  </si>
  <si>
    <t>1-MIB-HC-LE-2</t>
  </si>
  <si>
    <t>1-MIB-HC-LE-3</t>
  </si>
  <si>
    <t>1-MIB-SP-LE-2</t>
  </si>
  <si>
    <t>1-MIB-SP-LE-3</t>
  </si>
  <si>
    <t>1-MIB-LI-LE-2</t>
  </si>
  <si>
    <t>1-MIB-LI-LE-3</t>
  </si>
  <si>
    <t>1-MIB-EM-LE-2</t>
  </si>
  <si>
    <t>1-MIB-EM-LE-3</t>
  </si>
  <si>
    <t>2-ASB-CL-LE-1</t>
  </si>
  <si>
    <t>2-ASB-CL-LE-3</t>
  </si>
  <si>
    <t>2-ASB-PR-LE-1</t>
  </si>
  <si>
    <t>2-ASB-PR-LE-3</t>
  </si>
  <si>
    <t>2-ASB-HC-LE-1</t>
  </si>
  <si>
    <t>2-ASB-HC-LE-3</t>
  </si>
  <si>
    <t>2-ASB-SP-LE-1</t>
  </si>
  <si>
    <t>2-ASB-SP-LE-3</t>
  </si>
  <si>
    <t>2-ASB-LI-LE-1</t>
  </si>
  <si>
    <t>2-ASB-LI-LE-3</t>
  </si>
  <si>
    <t>2-ASB-EM-LE-1</t>
  </si>
  <si>
    <t>2-ASB-EM-LE-3</t>
  </si>
  <si>
    <t>2-PMB-CL-LE-1</t>
  </si>
  <si>
    <t>2-PMB-CL-LE-3</t>
  </si>
  <si>
    <t>2-PMB-PR-LE-1</t>
  </si>
  <si>
    <t>2-PMB-PR-LE-3</t>
  </si>
  <si>
    <t>2-PMB-HC-LE-1</t>
  </si>
  <si>
    <t>2-PMB-HC-LE-3</t>
  </si>
  <si>
    <t>2-PMB-SP-LE-1</t>
  </si>
  <si>
    <t>2-PMB-SP-LE-3</t>
  </si>
  <si>
    <t>2-PMB-LI-LE-1</t>
  </si>
  <si>
    <t>2-PMB-LI-LE-3</t>
  </si>
  <si>
    <t>2-PMB-EM-LE-1</t>
  </si>
  <si>
    <t>2-PMB-EM-LE-3</t>
  </si>
  <si>
    <t>2-COM-EM-LE-1</t>
  </si>
  <si>
    <t>2-COM-EM-LE-3</t>
  </si>
  <si>
    <t>2-PMB-SR-LE-1</t>
  </si>
  <si>
    <t>2-PMB-SR-LE-3</t>
  </si>
  <si>
    <t>2-COM-SR-LE-1</t>
  </si>
  <si>
    <t>2-COM-SR-LE-3</t>
  </si>
  <si>
    <t>2-COM-HC-LE-1</t>
  </si>
  <si>
    <t>2-COM-HC-LE-3</t>
  </si>
  <si>
    <t>2-VBS-CL-LE-1</t>
  </si>
  <si>
    <t>2-VBS-CL-LE-3</t>
  </si>
  <si>
    <t>2-VBS-PR-LE-1</t>
  </si>
  <si>
    <t>2-VBS-PR-LE-3</t>
  </si>
  <si>
    <t>2-VBS-FR-LE-1</t>
  </si>
  <si>
    <t>2-VBS-FR-LE-3</t>
  </si>
  <si>
    <t>2-VBS-HC-LE-1</t>
  </si>
  <si>
    <t>2-VBS-HC-LE-3</t>
  </si>
  <si>
    <t>2-VBS-SP-LE-1</t>
  </si>
  <si>
    <t>2-VBS-SP-LE-3</t>
  </si>
  <si>
    <t>2-VBS-LI-LE-1</t>
  </si>
  <si>
    <t>2-VBS-LI-LE-3</t>
  </si>
  <si>
    <t>2-MIC-SP-LE-1</t>
  </si>
  <si>
    <t>2-MIC-SP-LE-3</t>
  </si>
  <si>
    <t>2-MIC-LI-LE-1</t>
  </si>
  <si>
    <t>2-MIC-LI-LE-3</t>
  </si>
  <si>
    <t>2-MIC-CL-LE-1</t>
  </si>
  <si>
    <t>2-MIC-CL-LE-3</t>
  </si>
  <si>
    <t>2-MIC-HC-LE-1</t>
  </si>
  <si>
    <t>2-MIC-HC-LE-3</t>
  </si>
  <si>
    <t>2-MIC-EM-LE-1</t>
  </si>
  <si>
    <t>2-MIC-EM-LE-3</t>
  </si>
  <si>
    <t>2-MIB-CL-LE-1</t>
  </si>
  <si>
    <t>2-MIB-CL-LE-2</t>
  </si>
  <si>
    <t>2-MIB-CL-LE-3</t>
  </si>
  <si>
    <t>2-MIB-HC-LE-1</t>
  </si>
  <si>
    <t>2-MIB-HC-LE-2</t>
  </si>
  <si>
    <t>2-MIB-HC-LE-3</t>
  </si>
  <si>
    <t>2-MIB-SP-LE-1</t>
  </si>
  <si>
    <t>2-MIB-SP-LE-3</t>
  </si>
  <si>
    <t>2-MIB-LI-LE-1</t>
  </si>
  <si>
    <t>2-MIB-LI-LE-3</t>
  </si>
  <si>
    <t>2-MIB-EM-LE-1</t>
  </si>
  <si>
    <t>2-MIB-EM-LE-3</t>
  </si>
  <si>
    <t>3-ASB-CL-LE-1</t>
  </si>
  <si>
    <t>3-ASB-CL-LE-2</t>
  </si>
  <si>
    <t>3-ASB-PR-LE-1</t>
  </si>
  <si>
    <t>3-ASB-PR-LE-2</t>
  </si>
  <si>
    <t>3-ASB-HC-LE-1</t>
  </si>
  <si>
    <t>3-ASB-HC-LE-2</t>
  </si>
  <si>
    <t>3-ASB-SP-LE-1</t>
  </si>
  <si>
    <t>3-ASB-SP-LE-2</t>
  </si>
  <si>
    <t>3-ASB-LI-LE-1</t>
  </si>
  <si>
    <t>3-ASB-LI-LE-2</t>
  </si>
  <si>
    <t>3-ASB-EM-LE-1</t>
  </si>
  <si>
    <t>3-ASB-EM-LE-2</t>
  </si>
  <si>
    <t>3-PMB-CL-LE-1</t>
  </si>
  <si>
    <t>3-PMB-CL-LE-2</t>
  </si>
  <si>
    <t>3-PMB-PR-LE-1</t>
  </si>
  <si>
    <t>3-PMB-PR-LE-2</t>
  </si>
  <si>
    <t>3-PMB-HC-LE-1</t>
  </si>
  <si>
    <t>3-PMB-HC-LE-2</t>
  </si>
  <si>
    <t>3-PMB-SP-LE-1</t>
  </si>
  <si>
    <t>3-PMB-SP-LE-2</t>
  </si>
  <si>
    <t>3-PMB-LI-LE-1</t>
  </si>
  <si>
    <t>3-PMB-LI-LE-2</t>
  </si>
  <si>
    <t>3-PMB-EM-LE-1</t>
  </si>
  <si>
    <t>3-PMB-EM-LE-2</t>
  </si>
  <si>
    <t>3-PMB-SR-LE-1</t>
  </si>
  <si>
    <t>3-PMB-SR-LE-2</t>
  </si>
  <si>
    <t>3-COM-HC-LE-1</t>
  </si>
  <si>
    <t>3-COM-HC-LE-2</t>
  </si>
  <si>
    <t>3-COM-SP-LE-1</t>
  </si>
  <si>
    <t>3-COM-SP-LE-2</t>
  </si>
  <si>
    <t>3-COM-EM-LE-1</t>
  </si>
  <si>
    <t>3-COM-EM-LE-2</t>
  </si>
  <si>
    <t>3-COM-SR-LE-1</t>
  </si>
  <si>
    <t>3-COM-SR-LE-2</t>
  </si>
  <si>
    <t>3-VBS-CL-LE-1</t>
  </si>
  <si>
    <t>3-VBS-CL-LE-2</t>
  </si>
  <si>
    <t>3-VBS-PR-LE-1</t>
  </si>
  <si>
    <t>3-VBS-PR-LE-2</t>
  </si>
  <si>
    <t>3-VBS-HC-LE-1</t>
  </si>
  <si>
    <t>3-VBS-HC-LE-2</t>
  </si>
  <si>
    <t>3-VBS-SP-LE-1</t>
  </si>
  <si>
    <t>3-VBS-SP-LE-2</t>
  </si>
  <si>
    <t>3-VBS-LI-LE-1</t>
  </si>
  <si>
    <t>3-VBS-LI-LE-2</t>
  </si>
  <si>
    <t>3-VBS-FR-LE-1</t>
  </si>
  <si>
    <t>3-VBS-FR-LE-2</t>
  </si>
  <si>
    <t>3-MIC-CL-LE-1</t>
  </si>
  <si>
    <t>3-MIC-CL-LE-2</t>
  </si>
  <si>
    <t>3-MIC-HC-LE-1</t>
  </si>
  <si>
    <t>3-MIC-HC-LE-2</t>
  </si>
  <si>
    <t>3-MIC-SP-LE-1</t>
  </si>
  <si>
    <t>3-MIC-SP-LE-2</t>
  </si>
  <si>
    <t>3-MIC-LI-LE-1</t>
  </si>
  <si>
    <t>3-MIC-LI-LE-2</t>
  </si>
  <si>
    <t>3-MIC-EM-LE-1</t>
  </si>
  <si>
    <t>3-MIC-EM-LE-2</t>
  </si>
  <si>
    <t>3-MIB-CL-LE-1</t>
  </si>
  <si>
    <t>3-MIB-CL-LE-2</t>
  </si>
  <si>
    <t>3-MIB-CL-LE-3</t>
  </si>
  <si>
    <t>3-MIB-HC-LE-1</t>
  </si>
  <si>
    <t>3-MIB-HC-LE-2</t>
  </si>
  <si>
    <t>3-MIB-HC-LE-3</t>
  </si>
  <si>
    <t>3-MIB-SP-LE-1</t>
  </si>
  <si>
    <t>3-MIB-SP-LE-2</t>
  </si>
  <si>
    <t>3-MIB-LI-LE-1</t>
  </si>
  <si>
    <t>3-MIB-LI-LE-2</t>
  </si>
  <si>
    <t>3-MIB-EM-LE-1</t>
  </si>
  <si>
    <t>3-MIB-EM-LE-2</t>
  </si>
  <si>
    <t>notes</t>
  </si>
  <si>
    <t>Tree looked half dead</t>
  </si>
  <si>
    <t>No flower</t>
  </si>
  <si>
    <t>Very small tree</t>
  </si>
  <si>
    <t>Two bags identified as 1-MIC-HC-LE-1</t>
  </si>
  <si>
    <t>ng/ul</t>
  </si>
  <si>
    <t>A260/280</t>
  </si>
  <si>
    <t>A260/230</t>
  </si>
  <si>
    <t>2023-05-19</t>
  </si>
  <si>
    <t>2023-05-24</t>
  </si>
  <si>
    <t>2023-05-29</t>
  </si>
  <si>
    <t>2023-05-31</t>
  </si>
  <si>
    <t>2023-06-01</t>
  </si>
  <si>
    <t>date.cell.collection</t>
  </si>
  <si>
    <t>date.extraction</t>
  </si>
  <si>
    <t>2023-07-24</t>
  </si>
  <si>
    <t>2023-08-01</t>
  </si>
  <si>
    <t>?</t>
  </si>
  <si>
    <t>Not same tree as May</t>
  </si>
  <si>
    <t>Ema Lussier</t>
  </si>
  <si>
    <t>Gaële Lajeunesse</t>
  </si>
  <si>
    <t>Morgane Enea</t>
  </si>
  <si>
    <t>Jérémy Frayse</t>
  </si>
  <si>
    <t>Rosaëlle Perreault</t>
  </si>
  <si>
    <t>Anja Werz</t>
  </si>
  <si>
    <t>2023-09-06</t>
  </si>
  <si>
    <t>2023-09-07</t>
  </si>
  <si>
    <t>2023-09-11</t>
  </si>
  <si>
    <t>SITES</t>
  </si>
  <si>
    <t>Plus susceptibles</t>
  </si>
  <si>
    <t>Modérément susceptibles</t>
  </si>
  <si>
    <t>Moins susceptibles</t>
  </si>
  <si>
    <t>conventionnel</t>
  </si>
  <si>
    <t>biologique</t>
  </si>
  <si>
    <t>par courriel</t>
  </si>
  <si>
    <t>par texto</t>
  </si>
  <si>
    <t>susceptibility</t>
  </si>
  <si>
    <t>High</t>
  </si>
  <si>
    <t>Moderate</t>
  </si>
  <si>
    <t>Low</t>
  </si>
  <si>
    <t>practice</t>
  </si>
  <si>
    <t>Conventional</t>
  </si>
  <si>
    <t>Organic</t>
  </si>
  <si>
    <t>May</t>
  </si>
  <si>
    <t>July</t>
  </si>
  <si>
    <t>August</t>
  </si>
  <si>
    <t>b.gervais@cidreriemilton.com</t>
  </si>
  <si>
    <t>Benoit Gervais</t>
  </si>
  <si>
    <t xml:space="preserve">819-679-9937
</t>
  </si>
  <si>
    <t xml:space="preserve">Pauline
</t>
  </si>
  <si>
    <t xml:space="preserve">par téléphone </t>
  </si>
  <si>
    <t>450-577-2889</t>
  </si>
  <si>
    <t>smercier@vergerbiodessources.ca</t>
  </si>
  <si>
    <t>year</t>
  </si>
  <si>
    <t>2023-1-ASB-CL-FL-1</t>
  </si>
  <si>
    <t>2023-1-ASB-CL-LE-1</t>
  </si>
  <si>
    <t>2023-1-ASB-CL-FL-2</t>
  </si>
  <si>
    <t>2023-1-ASB-CL-LE-2</t>
  </si>
  <si>
    <t>2023-1-ASB-CL-FL-3</t>
  </si>
  <si>
    <t>2023-1-ASB-CL-LE-3</t>
  </si>
  <si>
    <t>2023-1-ASB-PR-FL-1</t>
  </si>
  <si>
    <t>2023-1-ASB-PR-LE-1</t>
  </si>
  <si>
    <t>2023-1-ASB-PR-FL-2</t>
  </si>
  <si>
    <t>2023-1-ASB-PR-LE-2</t>
  </si>
  <si>
    <t>2023-1-ASB-PR-FL-3</t>
  </si>
  <si>
    <t>2023-1-ASB-PR-LE-3</t>
  </si>
  <si>
    <t>2023-1-ASB-HC-FL-1</t>
  </si>
  <si>
    <t>2023-1-ASB-HC-LE-1</t>
  </si>
  <si>
    <t>2023-1-ASB-HC-FL-2</t>
  </si>
  <si>
    <t>2023-1-ASB-HC-LE-2</t>
  </si>
  <si>
    <t>2023-1-ASB-HC-FL-3</t>
  </si>
  <si>
    <t>2023-1-ASB-HC-LE-3</t>
  </si>
  <si>
    <t>2023-1-ASB-SP-FL-1</t>
  </si>
  <si>
    <t>2023-1-ASB-SP-LE-1</t>
  </si>
  <si>
    <t>2023-1-ASB-SP-FL-2</t>
  </si>
  <si>
    <t>2023-1-ASB-SP-LE-2</t>
  </si>
  <si>
    <t>2023-1-ASB-SP-FL-3</t>
  </si>
  <si>
    <t>2023-1-ASB-SP-LE-3</t>
  </si>
  <si>
    <t>2023-1-ASB-LI-FL-1</t>
  </si>
  <si>
    <t>2023-1-ASB-LI-LE-1</t>
  </si>
  <si>
    <t>2023-1-ASB-LI-FL-2</t>
  </si>
  <si>
    <t>2023-1-ASB-LI-LE-2</t>
  </si>
  <si>
    <t>2023-1-ASB-LI-FL-3</t>
  </si>
  <si>
    <t>2023-1-ASB-LI-LE-3</t>
  </si>
  <si>
    <t>2023-1-ASB-EM-FL-1</t>
  </si>
  <si>
    <t>2023-1-ASB-EM-LE-1</t>
  </si>
  <si>
    <t>2023-1-ASB-EM-FL-2</t>
  </si>
  <si>
    <t>2023-1-ASB-EM-LE-2</t>
  </si>
  <si>
    <t>2023-1-ASB-EM-FL-3</t>
  </si>
  <si>
    <t>2023-1-ASB-EM-LE-3</t>
  </si>
  <si>
    <t>2023-1-PMB-CL-FL-1</t>
  </si>
  <si>
    <t>2023-1-PMB-CL-LE-1</t>
  </si>
  <si>
    <t>2023-1-PMB-CL-FL-2</t>
  </si>
  <si>
    <t>2023-1-PMB-CL-LE-2</t>
  </si>
  <si>
    <t>2023-1-PMB-CL-FL-3</t>
  </si>
  <si>
    <t>2023-1-PMB-CL-LE-3</t>
  </si>
  <si>
    <t>2023-1-PMB-PR-FL-1</t>
  </si>
  <si>
    <t>2023-1-PMP-PR-LE-1</t>
  </si>
  <si>
    <t>2023-1-PMB-PR-FL-2</t>
  </si>
  <si>
    <t>2023-1-PMP-PR-LE-2</t>
  </si>
  <si>
    <t>2023-1-PMB-PR-FL-3</t>
  </si>
  <si>
    <t>2023-1-PMB-PR-LE-3</t>
  </si>
  <si>
    <t>2023-1-PMB-HC-FL-1</t>
  </si>
  <si>
    <t>2023-1-PMB-HC-LE-1</t>
  </si>
  <si>
    <t>2023-1-PMB-HC-FL-2</t>
  </si>
  <si>
    <t>2023-1-PMB-HC-LE-2</t>
  </si>
  <si>
    <t>2023-1-PMB-HC-FL-3</t>
  </si>
  <si>
    <t>2023-1-PMB-HC-LE-3</t>
  </si>
  <si>
    <t>2023-1-PMB-SP-FL-1</t>
  </si>
  <si>
    <t>2023-1-PMB-SP-LE-1</t>
  </si>
  <si>
    <t>2023-1-PMB-SP-FL-2</t>
  </si>
  <si>
    <t>2023-1-PMB-SP-LE-2</t>
  </si>
  <si>
    <t>2023-1-PMB-SP-FL-3</t>
  </si>
  <si>
    <t>2023-1-PMB-SP-LE-3</t>
  </si>
  <si>
    <t>2023-1-PMB-LI-FL-1</t>
  </si>
  <si>
    <t>2023-1-PMB-LI-LE-1</t>
  </si>
  <si>
    <t>2023-1-PMB-LI-FL-2</t>
  </si>
  <si>
    <t>2023-1-PMB-LI-LE-2</t>
  </si>
  <si>
    <t>2023-1-PMB-LI-FL-3</t>
  </si>
  <si>
    <t>2023-1-PMB-LI-LE-3</t>
  </si>
  <si>
    <t>2023-1-PMB-EM-FL-1</t>
  </si>
  <si>
    <t>2023-1-PMB-EM-LE-1</t>
  </si>
  <si>
    <t>2023-1-PMB-EM-FL-2</t>
  </si>
  <si>
    <t>2023-1-PMB-EM-LE-2</t>
  </si>
  <si>
    <t>2023-1-PMB-EM-FL-3</t>
  </si>
  <si>
    <t>2023-1-PMB-EM-LE-3</t>
  </si>
  <si>
    <t>2023-1-PMB-SR-FL-1</t>
  </si>
  <si>
    <t>2023-1-PMB-SR-LE-1</t>
  </si>
  <si>
    <t>2023-1-PMB-SR-FL-2</t>
  </si>
  <si>
    <t>2023-1-PMB-SR-LE-2</t>
  </si>
  <si>
    <t>2023-1-PMB-SR-FL-3</t>
  </si>
  <si>
    <t>2023-1-PMB-SR-LE-3</t>
  </si>
  <si>
    <t>2023-1-COM-HC-LE-1</t>
  </si>
  <si>
    <t>2023-1-COM-HC-LE-2</t>
  </si>
  <si>
    <t>2023-1-COM-HC-LE-3</t>
  </si>
  <si>
    <t>2023-1-COM-SP-FL-1</t>
  </si>
  <si>
    <t>2023-1-COM-SP-LE-1</t>
  </si>
  <si>
    <t>2023-1-COM-SP-FL-2</t>
  </si>
  <si>
    <t>2023-1-COM-SP-LE-2</t>
  </si>
  <si>
    <t>2023-1-COM-SP-FL-3</t>
  </si>
  <si>
    <t>2023-1-COM-SP-LE-3</t>
  </si>
  <si>
    <t>2023-1-COM-EM-FL-1</t>
  </si>
  <si>
    <t>2023-1-COM-EM-LE-1</t>
  </si>
  <si>
    <t>2023-1-COM-EM-FL-2</t>
  </si>
  <si>
    <t>2023-1-COM-EM-LE-2</t>
  </si>
  <si>
    <t>2023-1-COM-EM-FL-3</t>
  </si>
  <si>
    <t>2023-1-COM-EM-LE-3</t>
  </si>
  <si>
    <t>2023-1-COM-SR-FL-1</t>
  </si>
  <si>
    <t>2023-1-COM-SR-LE-1</t>
  </si>
  <si>
    <t>2023-1-COM-SR-FL-2</t>
  </si>
  <si>
    <t>2023-1-COM-SR-LE-2</t>
  </si>
  <si>
    <t>2023-1-COM-SR-FL-3</t>
  </si>
  <si>
    <t>2023-1-COM-SR-LE-3</t>
  </si>
  <si>
    <t>2023-1-VBS-CL-FL-1</t>
  </si>
  <si>
    <t>2023-1-VBS-CL-LE-1</t>
  </si>
  <si>
    <t>2023-1-VBS-CL-FL-2</t>
  </si>
  <si>
    <t>2023-1-VBS-CL-LE-2</t>
  </si>
  <si>
    <t>2023-1-VBS-CL-FL-3</t>
  </si>
  <si>
    <t>2023-1-VBS-CL-LE-3</t>
  </si>
  <si>
    <t>2023-1-VBS-PR-FL-1</t>
  </si>
  <si>
    <t>2023-1-VBS-PR-LE-1</t>
  </si>
  <si>
    <t>2023-1-VBS-PR-FL-2</t>
  </si>
  <si>
    <t>2023-1-VBS-PR-LE-2</t>
  </si>
  <si>
    <t>2023-1-VBS-PR-FL-3</t>
  </si>
  <si>
    <t>2023-1-VBS-PR-LE-3</t>
  </si>
  <si>
    <t>2023-1-VBS-HC-FL-1</t>
  </si>
  <si>
    <t>2023-1-VBS-HC-LE-1</t>
  </si>
  <si>
    <t>2023-1-VBS-HC-FL-2</t>
  </si>
  <si>
    <t>2023-1-VBS-HC-LE-2</t>
  </si>
  <si>
    <t>2023-1-VBS-HC-FL-3</t>
  </si>
  <si>
    <t>2023-1-VBS-HC-LE-3</t>
  </si>
  <si>
    <t>2023-1-VBS-SP-FL-1</t>
  </si>
  <si>
    <t>2023-1-VBS-SP-LE-1</t>
  </si>
  <si>
    <t>2023-1-VBS-SP-FL-2</t>
  </si>
  <si>
    <t>2023-1-VBS-SP-LE-2</t>
  </si>
  <si>
    <t>2023-1-VBS-SP-FL-3</t>
  </si>
  <si>
    <t>2023-1-VBS-SP-LE-3</t>
  </si>
  <si>
    <t>2023-1-VBS-LI-FL-1</t>
  </si>
  <si>
    <t>2023-1-VBS-LI-LE-1</t>
  </si>
  <si>
    <t>2023-1-VBS-LI-FL-2</t>
  </si>
  <si>
    <t>2023-1-VBS-LI-LE-2</t>
  </si>
  <si>
    <t>2023-1-VBS-LI-FL-3</t>
  </si>
  <si>
    <t>2023-1-VBS-LI-LE-3</t>
  </si>
  <si>
    <t>2023-1-VBS-FR-FL-1</t>
  </si>
  <si>
    <t>2023-1-VBS-FR-LE-1</t>
  </si>
  <si>
    <t>2023-1-VBS-FR-FL-2</t>
  </si>
  <si>
    <t>2023-1-VBS-FR-LE-2</t>
  </si>
  <si>
    <t>2023-1-VBS-FR-FL-3</t>
  </si>
  <si>
    <t>2023-1-VBS-FR-LE-3</t>
  </si>
  <si>
    <t>2023-1-MIC-CL-LE-1</t>
  </si>
  <si>
    <t>2023-1-MIC-CL-LE-2</t>
  </si>
  <si>
    <t>2023-1-MIC-CL-LE-3</t>
  </si>
  <si>
    <t>2023-1-MIC-HC-LE-1</t>
  </si>
  <si>
    <t>2023-1-MIC-HC-LE-2</t>
  </si>
  <si>
    <t>2023-1-MIC-HC-LE-3</t>
  </si>
  <si>
    <t>2023-1-MIC-SP-LE-1</t>
  </si>
  <si>
    <t>2023-1-MIC-SP-LE-2</t>
  </si>
  <si>
    <t>2023-1-MIC-SP-LE-3</t>
  </si>
  <si>
    <t>2023-1-MIC-LI-LE-1</t>
  </si>
  <si>
    <t>2023-1-MIC-LI-LE-2</t>
  </si>
  <si>
    <t>2023-1-MIC-LI-LE-3</t>
  </si>
  <si>
    <t>2023-1-MIC-EM-LE-1</t>
  </si>
  <si>
    <t>2023-1-MIC-EM-LE-2</t>
  </si>
  <si>
    <t>2023-1-MIC-EM-LE-3</t>
  </si>
  <si>
    <t>2023-1-MIB-CL-LE-1</t>
  </si>
  <si>
    <t>2023-1-MIB-CL-LE-2</t>
  </si>
  <si>
    <t>2023-1-MIB-CL-LE-3</t>
  </si>
  <si>
    <t>2023-1-MIB-HC-LE-1</t>
  </si>
  <si>
    <t>2023-1-MIB-HC-LE-2</t>
  </si>
  <si>
    <t>2023-1-MIB-HC-LE-3</t>
  </si>
  <si>
    <t>2023-1-MIB-SP-LE-1</t>
  </si>
  <si>
    <t>2023-1-MIB-SP-LE-2</t>
  </si>
  <si>
    <t>2023-1-MIB-SP-LE-3</t>
  </si>
  <si>
    <t>2023-1-MIB-LI-LE-1</t>
  </si>
  <si>
    <t>2023-1-MIB-LI-LE-2</t>
  </si>
  <si>
    <t>2023-1-MIB-LI-LE-3</t>
  </si>
  <si>
    <t>2023-1-MIB-EM-LE-1</t>
  </si>
  <si>
    <t>2023-1-MIB-EM-LE-2</t>
  </si>
  <si>
    <t>2023-1-MIB-EM-LE-3</t>
  </si>
  <si>
    <t>2023-2-ASB-CL-LE-1</t>
  </si>
  <si>
    <t>2023-2-ASB-CL-LE-2</t>
  </si>
  <si>
    <t>2023-2-ASB-CL-LE-3</t>
  </si>
  <si>
    <t>2023-2-ASB-PR-LE-1</t>
  </si>
  <si>
    <t>2023-2-ASB-PR-LE-2</t>
  </si>
  <si>
    <t>2023-2-ASB-PR-LE-3</t>
  </si>
  <si>
    <t>2023-2-ASB-HC-LE-1</t>
  </si>
  <si>
    <t>2023-2-ASB-HC-LE-2</t>
  </si>
  <si>
    <t>2023-2-ASB-HC-LE-3</t>
  </si>
  <si>
    <t>2023-2-ASB-SP-LE-1</t>
  </si>
  <si>
    <t>2023-2-ASB-SP-LE-2</t>
  </si>
  <si>
    <t>2023-2-ASB-SP-LE-3</t>
  </si>
  <si>
    <t>2023-2-ASB-LI-LE-1</t>
  </si>
  <si>
    <t>2023-2-ASB-LI-LE-2</t>
  </si>
  <si>
    <t>2023-2-ASB-LI-LE-3</t>
  </si>
  <si>
    <t>2023-2-ASB-EM-LE-1</t>
  </si>
  <si>
    <t>2023-2-ASB-EM-LE-2</t>
  </si>
  <si>
    <t>2023-2-ASB-EM-LE-3</t>
  </si>
  <si>
    <t>2023-2-PMB-CL-LE-1</t>
  </si>
  <si>
    <t>2023-2-PMB-CL-LE-2</t>
  </si>
  <si>
    <t>2023-2-PMB-CL-LE-3</t>
  </si>
  <si>
    <t>2023-2-PMB-PR-LE-1</t>
  </si>
  <si>
    <t>2023-2-PMB-PR-LE-2</t>
  </si>
  <si>
    <t>2023-2-PMB-PR-LE-3</t>
  </si>
  <si>
    <t>2023-2-PMB-HC-LE-1</t>
  </si>
  <si>
    <t>2023-2-PMB-HC-LE-2</t>
  </si>
  <si>
    <t>2023-2-PMB-HC-LE-3</t>
  </si>
  <si>
    <t>2023-2-PMB-SP-LE-1</t>
  </si>
  <si>
    <t>2023-2-PMB-SP-LE-2</t>
  </si>
  <si>
    <t>2023-2-PMB-SP-LE-3</t>
  </si>
  <si>
    <t>2023-2-PMB-LI-LE-1</t>
  </si>
  <si>
    <t>2023-2-PMB-LI-LE-2</t>
  </si>
  <si>
    <t>2023-2-PMB-LI-LE-3</t>
  </si>
  <si>
    <t>2023-2-PMB-EM-LE-1</t>
  </si>
  <si>
    <t>2023-2-PMB-EM-LE-2</t>
  </si>
  <si>
    <t>2023-2-PMB-EM-LE-3</t>
  </si>
  <si>
    <t>2023-2-PMB-SR-LE-1</t>
  </si>
  <si>
    <t>2023-2-PMB-SR-LE-2</t>
  </si>
  <si>
    <t>2023-2-PMB-SR-LE-3</t>
  </si>
  <si>
    <t>2023-2-COM-HC-LE-1</t>
  </si>
  <si>
    <t>2023-2-COM-HC-LE-2</t>
  </si>
  <si>
    <t>2023-2-COM-HC-LE-3</t>
  </si>
  <si>
    <t>2023-2-COM-SP-LE-1</t>
  </si>
  <si>
    <t>2023-2-COM-SP-LE-2</t>
  </si>
  <si>
    <t>2023-2-COM-SP-LE-3</t>
  </si>
  <si>
    <t>2023-2-COM-EM-LE-1</t>
  </si>
  <si>
    <t>2023-2-COM-EM-LE-2</t>
  </si>
  <si>
    <t>2023-2-COM-EM-LE-3</t>
  </si>
  <si>
    <t>2023-2-COM-SR-LE-1</t>
  </si>
  <si>
    <t>2023-2-COM-SR-LE-2</t>
  </si>
  <si>
    <t>2023-2-COM-SR-LE-3</t>
  </si>
  <si>
    <t>2023-2-VBS-CL-LE-1</t>
  </si>
  <si>
    <t>2023-2-VBS-CL-LE-2</t>
  </si>
  <si>
    <t>2023-2-VBS-CL-LE-3</t>
  </si>
  <si>
    <t>2023-2-VBS-PR-LE-1</t>
  </si>
  <si>
    <t>2023-2-VBS-PR-LE-2</t>
  </si>
  <si>
    <t>2023-2-VBS-PR-LE-3</t>
  </si>
  <si>
    <t>2023-2-VBS-HC-LE-1</t>
  </si>
  <si>
    <t>2023-2-VBS-HC-LE-2</t>
  </si>
  <si>
    <t>2023-2-VBS-HC-LE-3</t>
  </si>
  <si>
    <t>2023-2-VBS-SP-LE-1</t>
  </si>
  <si>
    <t>2023-2-VBS-SP-LE-2</t>
  </si>
  <si>
    <t>2023-2-VBS-SP-LE-3</t>
  </si>
  <si>
    <t>2023-2-VBS-LI-LE-1</t>
  </si>
  <si>
    <t>2023-2-VBS-LI-LE-2</t>
  </si>
  <si>
    <t>2023-2-VBS-LI-LE-3</t>
  </si>
  <si>
    <t>2023-2-VBS-FR-LE-1</t>
  </si>
  <si>
    <t>2023-2-VBS-FR-LE-2</t>
  </si>
  <si>
    <t>2023-2-VBS-FR-LE-3</t>
  </si>
  <si>
    <t>2023-2-MIC-CL-LE-1</t>
  </si>
  <si>
    <t>2023-2-MIC-CL-LE-2</t>
  </si>
  <si>
    <t>2023-2-MIC-CL-LE-3</t>
  </si>
  <si>
    <t>2023-2-MIC-HC-LE-1</t>
  </si>
  <si>
    <t>2023-2-MIC-HC-LE-2</t>
  </si>
  <si>
    <t>2023-2-MIC-HC-LE-3</t>
  </si>
  <si>
    <t>2023-2-MIC-SP-LE-1</t>
  </si>
  <si>
    <t>2023-2-MIC-SP-LE-2</t>
  </si>
  <si>
    <t>2023-2-MIC-SP-LE-3</t>
  </si>
  <si>
    <t>2023-2-MIC-LI-LE-1</t>
  </si>
  <si>
    <t>2023-2-MIC-LI-LE-2</t>
  </si>
  <si>
    <t>2023-2-MIC-LI-LE-3</t>
  </si>
  <si>
    <t>2023-2-MIC-EM-LE-1</t>
  </si>
  <si>
    <t>2023-2-MIC-EM-LE-2</t>
  </si>
  <si>
    <t>2023-2-MIC-EM-LE-3</t>
  </si>
  <si>
    <t>2023-2-MIB-CL-LE-1</t>
  </si>
  <si>
    <t>2023-2-MIB-CL-LE-2</t>
  </si>
  <si>
    <t>2023-2-MIB-CL-LE-3</t>
  </si>
  <si>
    <t>2023-2-MIB-HC-LE-1</t>
  </si>
  <si>
    <t>2023-2-MIB-HC-LE-2</t>
  </si>
  <si>
    <t>2023-2-MIB-HC-LE-3</t>
  </si>
  <si>
    <t>2023-2-MIB-SP-LE-1</t>
  </si>
  <si>
    <t>2023-2-MIB-SP-LE-2</t>
  </si>
  <si>
    <t>2023-2-MIB-SP-LE-3</t>
  </si>
  <si>
    <t>2023-2-MIB-LI-LE-1</t>
  </si>
  <si>
    <t>2023-2-MIB-LI-LE-2</t>
  </si>
  <si>
    <t>2023-2-MIB-LI-LE-3</t>
  </si>
  <si>
    <t>2023-2-MIB-EM-LE-1</t>
  </si>
  <si>
    <t>2023-2-MIB-EM-LE-2</t>
  </si>
  <si>
    <t>2023-2-MIB-EM-LE-3</t>
  </si>
  <si>
    <t>2023-3-ASB-CL-LE-1</t>
  </si>
  <si>
    <t>2023-3-ASB-CL-LE-2</t>
  </si>
  <si>
    <t>2023-3-ASB-CL-LE-3</t>
  </si>
  <si>
    <t>2023-3-ASB-PR-LE-1</t>
  </si>
  <si>
    <t>2023-3-ASB-PR-LE-2</t>
  </si>
  <si>
    <t>2023-3-ASB-PR-LE-3</t>
  </si>
  <si>
    <t>2023-3-ASB-HC-LE-1</t>
  </si>
  <si>
    <t>2023-3-ASB-HC-LE-2</t>
  </si>
  <si>
    <t>2023-3-ASB-HC-LE-3</t>
  </si>
  <si>
    <t>2023-3-ASB-SP-LE-1</t>
  </si>
  <si>
    <t>2023-3-ASB-SP-LE-2</t>
  </si>
  <si>
    <t>2023-3-ASB-SP-LE-3</t>
  </si>
  <si>
    <t>2023-3-ASB-LI-LE-1</t>
  </si>
  <si>
    <t>2023-3-ASB-LI-LE-2</t>
  </si>
  <si>
    <t>2023-3-ASB-LI-LE-3</t>
  </si>
  <si>
    <t>2023-3-ASB-EM-LE-1</t>
  </si>
  <si>
    <t>2023-3-ASB-EM-LE-2</t>
  </si>
  <si>
    <t>2023-3-ASB-EM-LE-3</t>
  </si>
  <si>
    <t>2023-3-PMB-CL-LE-1</t>
  </si>
  <si>
    <t>2023-3-PMB-CL-LE-2</t>
  </si>
  <si>
    <t>2023-3-PMB-CL-LE-3</t>
  </si>
  <si>
    <t>2023-3-PMB-PR-LE-1</t>
  </si>
  <si>
    <t>2023-3-PMB-PR-LE-2</t>
  </si>
  <si>
    <t>2023-3-PMB-PR-LE-3</t>
  </si>
  <si>
    <t>2023-3-PMB-HC-LE-1</t>
  </si>
  <si>
    <t>2023-3-PMB-HC-LE-2</t>
  </si>
  <si>
    <t>2023-3-PMB-HC-LE-3</t>
  </si>
  <si>
    <t>2023-3-PMB-SP-LE-1</t>
  </si>
  <si>
    <t>2023-3-PMB-SP-LE-2</t>
  </si>
  <si>
    <t>2023-3-PMB-SP-LE-3</t>
  </si>
  <si>
    <t>2023-3-PMB-LI-LE-1</t>
  </si>
  <si>
    <t>2023-3-PMB-LI-LE-2</t>
  </si>
  <si>
    <t>2023-3-PMB-LI-LE-3</t>
  </si>
  <si>
    <t>2023-3-PMB-EM-LE-1</t>
  </si>
  <si>
    <t>2023-3-PMB-EM-LE-2</t>
  </si>
  <si>
    <t>2023-3-PMB-EM-LE-3</t>
  </si>
  <si>
    <t>2023-3-PMB-SR-LE-1</t>
  </si>
  <si>
    <t>2023-3-PMB-SR-LE-2</t>
  </si>
  <si>
    <t>2023-3-PMB-SR-LE-3</t>
  </si>
  <si>
    <t>2023-3-COM-HC-LE-1</t>
  </si>
  <si>
    <t>2023-3-COM-HC-LE-2</t>
  </si>
  <si>
    <t>2023-3-COM-HC-LE-3</t>
  </si>
  <si>
    <t>2023-3-COM-SP-LE-1</t>
  </si>
  <si>
    <t>2023-3-COM-SP-LE-2</t>
  </si>
  <si>
    <t>2023-3-COM-SP-LE-3</t>
  </si>
  <si>
    <t>2023-3-COM-EM-LE-1</t>
  </si>
  <si>
    <t>2023-3-COM-EM-LE-2</t>
  </si>
  <si>
    <t>2023-3-COM-EM-LE-3</t>
  </si>
  <si>
    <t>2023-3-COM-SR-LE-1</t>
  </si>
  <si>
    <t>2023-3-COM-SR-LE-2</t>
  </si>
  <si>
    <t>2023-3-COM-SR-LE-3</t>
  </si>
  <si>
    <t>2023-3-VBS-CL-LE-1</t>
  </si>
  <si>
    <t>2023-3-VBS-CL-LE-2</t>
  </si>
  <si>
    <t>2023-3-VBS-CL-LE-3</t>
  </si>
  <si>
    <t>2023-3-VBS-PR-LE-1</t>
  </si>
  <si>
    <t>2023-3-VBS-PR-LE-2</t>
  </si>
  <si>
    <t>2023-3-VBS-PR-LE-3</t>
  </si>
  <si>
    <t>2023-3-VBS-HC-LE-1</t>
  </si>
  <si>
    <t>2023-3-VBS-HC-LE-2</t>
  </si>
  <si>
    <t>2023-3-VBS-HC-LE-3</t>
  </si>
  <si>
    <t>2023-3-VBS-SP-LE-1</t>
  </si>
  <si>
    <t>2023-3-VBS-SP-LE-2</t>
  </si>
  <si>
    <t>2023-3-VBS-SP-LE-3</t>
  </si>
  <si>
    <t>2023-3-VBS-LI-LE-1</t>
  </si>
  <si>
    <t>2023-3-VBS-LI-LE-2</t>
  </si>
  <si>
    <t>2023-3-VBS-LI-LE-3</t>
  </si>
  <si>
    <t>2023-3-VBS-FR-LE-1</t>
  </si>
  <si>
    <t>2023-3-VBS-FR-LE-2</t>
  </si>
  <si>
    <t>2023-3-VBS-FR-LE-3</t>
  </si>
  <si>
    <t>2023-3-MIC-CL-LE-1</t>
  </si>
  <si>
    <t>2023-3-MIC-CL-LE-2</t>
  </si>
  <si>
    <t>2023-3-MIC-CL-LE-3</t>
  </si>
  <si>
    <t>2023-3-MIC-HC-LE-1</t>
  </si>
  <si>
    <t>2023-3-MIC-HC-LE-2</t>
  </si>
  <si>
    <t>2023-3-MIC-HC-LE-3</t>
  </si>
  <si>
    <t>2023-3-MIC-SP-LE-1</t>
  </si>
  <si>
    <t>2023-3-MIC-SP-LE-2</t>
  </si>
  <si>
    <t>2023-3-MIC-SP-LE-3</t>
  </si>
  <si>
    <t>2023-3-MIC-LI-LE-1</t>
  </si>
  <si>
    <t>2023-3-MIC-LI-LE-2</t>
  </si>
  <si>
    <t>2023-3-MIC-LI-LE-3</t>
  </si>
  <si>
    <t>2023-3-MIC-EM-LE-1</t>
  </si>
  <si>
    <t>2023-3-MIC-EM-LE-2</t>
  </si>
  <si>
    <t>2023-3-MIC-EM-LE-3</t>
  </si>
  <si>
    <t>2023-3-MIB-CL-LE-1</t>
  </si>
  <si>
    <t>2023-3-MIB-CL-LE-2</t>
  </si>
  <si>
    <t>2023-3-MIB-CL-LE-3</t>
  </si>
  <si>
    <t>2023-3-MIB-HC-LE-1</t>
  </si>
  <si>
    <t>2023-3-MIB-HC-LE-2</t>
  </si>
  <si>
    <t>2023-3-MIB-HC-LE-3</t>
  </si>
  <si>
    <t>2023-3-MIB-SP-LE-1</t>
  </si>
  <si>
    <t>2023-3-MIB-SP-LE-2</t>
  </si>
  <si>
    <t>2023-3-MIB-SP-LE-3</t>
  </si>
  <si>
    <t>2023-3-MIB-LI-LE-1</t>
  </si>
  <si>
    <t>2023-3-MIB-LI-LE-2</t>
  </si>
  <si>
    <t>2023-3-MIB-LI-LE-3</t>
  </si>
  <si>
    <t>2023-3-MIB-EM-LE-1</t>
  </si>
  <si>
    <t>2023-3-MIB-EM-LE-2</t>
  </si>
  <si>
    <t>2023-3-MIB-EM-LE-3</t>
  </si>
  <si>
    <t>unique</t>
  </si>
  <si>
    <t>1-PMB-LI-LE-4</t>
  </si>
  <si>
    <t>1-PMB-LI-FL-4</t>
  </si>
  <si>
    <t>1-PMB-LI-LE-5</t>
  </si>
  <si>
    <t>1-PMB-LI-FL-5</t>
  </si>
  <si>
    <t>1-PMB-CL-LE-4</t>
  </si>
  <si>
    <t>1-PMB-CL-FL-4</t>
  </si>
  <si>
    <t>1-PMB-CL-LE-5</t>
  </si>
  <si>
    <t>1-PMB-CL-FL-5</t>
  </si>
  <si>
    <t>1-PMB-PR-LE-1</t>
  </si>
  <si>
    <t>1-PMB-PR-LE-2</t>
  </si>
  <si>
    <t>1-PMB-PR-LE-4</t>
  </si>
  <si>
    <t>1-PMB-PR-FL-4</t>
  </si>
  <si>
    <t>1-PMB-PR-LE-5</t>
  </si>
  <si>
    <t>1-PMB-PR-FL-5</t>
  </si>
  <si>
    <t>1-ASB-LI-LE-4</t>
  </si>
  <si>
    <t>1-ASB-LI-FL-4</t>
  </si>
  <si>
    <t>1-ASB-LI-LE-5</t>
  </si>
  <si>
    <t>1-ASB-LI-FL-5</t>
  </si>
  <si>
    <t>1-ASB-CL-LE-4</t>
  </si>
  <si>
    <t>1-ASB-CL-FL-4</t>
  </si>
  <si>
    <t>1-ASB-CL-LE-5</t>
  </si>
  <si>
    <t>1-ASB-CL-FL-5</t>
  </si>
  <si>
    <t>1-ASB-PR-LE-4</t>
  </si>
  <si>
    <t>1-ASB-PR-FL-4</t>
  </si>
  <si>
    <t>1-ASB-PR-LE-5</t>
  </si>
  <si>
    <t>1-ASB-PR-FL-5</t>
  </si>
  <si>
    <t>1-VBS-LI-LE-4</t>
  </si>
  <si>
    <t>1-VBS-LI-FL-4</t>
  </si>
  <si>
    <t>1-VBS-LI-LE-5</t>
  </si>
  <si>
    <t>1-VBS-LI-FL-5</t>
  </si>
  <si>
    <t>1-VBS-CL-LE-4</t>
  </si>
  <si>
    <t>1-VBS-CL-FL-4</t>
  </si>
  <si>
    <t>1-VBS-CL-LE-5</t>
  </si>
  <si>
    <t>1-VBS-CL-FL-5</t>
  </si>
  <si>
    <t>1-VBS-PR-LE-4</t>
  </si>
  <si>
    <t>1-VBS-PR-FL-4</t>
  </si>
  <si>
    <t>1-VBS-PR-LE-5</t>
  </si>
  <si>
    <t>1-VBS-PR-FL-5</t>
  </si>
  <si>
    <t>2-PMB-LI-LE-4</t>
  </si>
  <si>
    <t>2-PMB-LI-LE-5</t>
  </si>
  <si>
    <t>2-PMB-CL-LE-4</t>
  </si>
  <si>
    <t>2-PMB-CL-LE-5</t>
  </si>
  <si>
    <t>2-PMB-PR-LE-4</t>
  </si>
  <si>
    <t>2-PMB-PR-LE-5</t>
  </si>
  <si>
    <t>2-ASB-LI-LE-4</t>
  </si>
  <si>
    <t>2-ASB-LI-LE-5</t>
  </si>
  <si>
    <t>2-ASB-CL-LE-4</t>
  </si>
  <si>
    <t>2-ASB-CL-LE-5</t>
  </si>
  <si>
    <t>2-ASB-PR-LE-4</t>
  </si>
  <si>
    <t>2-ASB-PR-LE-5</t>
  </si>
  <si>
    <t>2-VBS-LI-LE-4</t>
  </si>
  <si>
    <t>2-VBS-LI-LE-5</t>
  </si>
  <si>
    <t>2-VBS-CL-LE-4</t>
  </si>
  <si>
    <t>2-VBS-CL-LE-5</t>
  </si>
  <si>
    <t>2-VBS-PR-LE-4</t>
  </si>
  <si>
    <t>2-VBS-PR-LE-5</t>
  </si>
  <si>
    <t>3-PMB-LI-LE-4</t>
  </si>
  <si>
    <t>3-PMB-LI-LE-5</t>
  </si>
  <si>
    <t>3-PMB-CL-LE-4</t>
  </si>
  <si>
    <t>3-PMB-CL-LE-5</t>
  </si>
  <si>
    <t>3-PMB-PR-LE-4</t>
  </si>
  <si>
    <t>3-PMB-PR-LE-5</t>
  </si>
  <si>
    <t>3-ASB-LI-LE-4</t>
  </si>
  <si>
    <t>3-ASB-LI-LE-5</t>
  </si>
  <si>
    <t>3-ASB-CL-LE-4</t>
  </si>
  <si>
    <t>3-ASB-CL-LE-5</t>
  </si>
  <si>
    <t>3-ASB-PR-LE-4</t>
  </si>
  <si>
    <t>3-ASB-PR-LE-5</t>
  </si>
  <si>
    <t>3-VBS-LI-LE-4</t>
  </si>
  <si>
    <t>3-VBS-LI-LE-5</t>
  </si>
  <si>
    <t>3-VBS-CL-LE-4</t>
  </si>
  <si>
    <t>3-VBS-CL-LE-5</t>
  </si>
  <si>
    <t>3-VBS-PR-LE-5</t>
  </si>
  <si>
    <t>2023-ctrl-PCR-neg-LaforestP7-16S</t>
  </si>
  <si>
    <t>2023-ctrl-PCR-pos-LaforestP7-16S</t>
  </si>
  <si>
    <t>None</t>
  </si>
  <si>
    <t>FALSE</t>
  </si>
  <si>
    <t>control</t>
  </si>
  <si>
    <t>TRUE</t>
  </si>
  <si>
    <t>ctrl-PCR-neg-LaforestP7</t>
  </si>
  <si>
    <t>ctrl-PCR-pos-LaforestP7</t>
  </si>
  <si>
    <t>ctrl-PCR-neg-LaforestP7-16S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</si>
</sst>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9"/>
      <name val="Calibri"/>
      <family val="2"/>
      <scheme val="minor"/>
    </font>
    <font>
      <b/>
      <sz val="11"/>
      <color rgb="FF1A1A1A"/>
      <name val="Open Sans"/>
      <family val="2"/>
    </font>
    <font>
      <sz val="11"/>
      <color rgb="FF1A1A1A"/>
      <name val="Open Sans"/>
      <family val="2"/>
    </font>
    <font>
      <sz val="11"/>
      <color theme="7"/>
      <name val="Open Sans"/>
      <family val="2"/>
    </font>
    <font>
      <sz val="11"/>
      <color rgb="FFFF0000"/>
      <name val="Open Sans"/>
      <family val="2"/>
    </font>
    <font>
      <sz val="11"/>
      <color theme="9"/>
      <name val="Open Sans"/>
      <family val="2"/>
    </font>
    <font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Open Sans"/>
      <family val="2"/>
    </font>
    <font>
      <sz val="12"/>
      <color rgb="FF313132"/>
      <name val="Noto Sans"/>
      <family val="2"/>
    </font>
    <font>
      <sz val="12"/>
      <color theme="9"/>
      <name val="Noto Sans"/>
      <family val="2"/>
    </font>
    <font>
      <sz val="12"/>
      <color theme="7"/>
      <name val="Noto Sans"/>
      <family val="2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B8B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7">
    <xf numFmtId="0" fontId="0" fillId="0" borderId="0" xfId="0"/>
    <xf numFmtId="0" fontId="3" fillId="2" borderId="0" xfId="0" applyFont="1" applyFill="1"/>
    <xf numFmtId="0" fontId="7" fillId="2" borderId="0" xfId="0" applyFont="1" applyFill="1"/>
    <xf numFmtId="0" fontId="0" fillId="0" borderId="0" xfId="0" applyAlignment="1">
      <alignment vertical="center"/>
    </xf>
    <xf numFmtId="0" fontId="11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4" fillId="0" borderId="0" xfId="1"/>
    <xf numFmtId="0" fontId="0" fillId="0" borderId="0" xfId="0" applyAlignment="1">
      <alignment horizontal="center"/>
    </xf>
    <xf numFmtId="0" fontId="0" fillId="6" borderId="5" xfId="0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0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24" fillId="7" borderId="5" xfId="0" applyFont="1" applyFill="1" applyBorder="1" applyAlignment="1">
      <alignment vertical="center"/>
    </xf>
    <xf numFmtId="0" fontId="24" fillId="6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6" fillId="11" borderId="5" xfId="0" applyFont="1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0" fillId="0" borderId="5" xfId="0" applyBorder="1"/>
    <xf numFmtId="0" fontId="0" fillId="6" borderId="5" xfId="0" applyFill="1" applyBorder="1"/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5" fillId="0" borderId="5" xfId="0" applyFont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25" fillId="10" borderId="5" xfId="0" applyFont="1" applyFill="1" applyBorder="1" applyAlignment="1">
      <alignment vertical="center"/>
    </xf>
    <xf numFmtId="0" fontId="25" fillId="7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vertical="center"/>
    </xf>
    <xf numFmtId="0" fontId="25" fillId="7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vertical="center"/>
    </xf>
    <xf numFmtId="0" fontId="32" fillId="13" borderId="5" xfId="0" applyFont="1" applyFill="1" applyBorder="1" applyAlignment="1">
      <alignment vertical="center"/>
    </xf>
    <xf numFmtId="0" fontId="32" fillId="7" borderId="5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25" fillId="0" borderId="5" xfId="0" applyFont="1" applyBorder="1"/>
    <xf numFmtId="0" fontId="25" fillId="0" borderId="0" xfId="0" applyFont="1" applyAlignment="1">
      <alignment vertical="center"/>
    </xf>
    <xf numFmtId="0" fontId="25" fillId="0" borderId="5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5" fillId="0" borderId="0" xfId="0" applyFont="1" applyAlignment="1">
      <alignment horizontal="left"/>
    </xf>
    <xf numFmtId="49" fontId="0" fillId="0" borderId="0" xfId="0" applyNumberFormat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10" borderId="0" xfId="0" applyFill="1"/>
    <xf numFmtId="0" fontId="0" fillId="13" borderId="0" xfId="0" applyFill="1"/>
    <xf numFmtId="0" fontId="0" fillId="9" borderId="0" xfId="0" applyFill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4" fillId="0" borderId="0" xfId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1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5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/>
    </xf>
    <xf numFmtId="0" fontId="27" fillId="7" borderId="8" xfId="0" applyFont="1" applyFill="1" applyBorder="1" applyAlignment="1">
      <alignment horizontal="center"/>
    </xf>
    <xf numFmtId="0" fontId="27" fillId="7" borderId="6" xfId="0" applyFont="1" applyFill="1" applyBorder="1" applyAlignment="1">
      <alignment horizontal="center"/>
    </xf>
    <xf numFmtId="0" fontId="25" fillId="7" borderId="7" xfId="0" applyFont="1" applyFill="1" applyBorder="1" applyAlignment="1">
      <alignment horizontal="center"/>
    </xf>
    <xf numFmtId="0" fontId="25" fillId="7" borderId="6" xfId="0" applyFont="1" applyFill="1" applyBorder="1" applyAlignment="1">
      <alignment horizontal="center"/>
    </xf>
    <xf numFmtId="0" fontId="25" fillId="7" borderId="8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1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9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527958</xdr:colOff>
      <xdr:row>5</xdr:row>
      <xdr:rowOff>66189</xdr:rowOff>
    </xdr:from>
    <xdr:to>
      <xdr:col>6</xdr:col>
      <xdr:colOff>342900</xdr:colOff>
      <xdr:row>9</xdr:row>
      <xdr:rowOff>276226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39169D-FA80-41FB-9B5B-217123304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90" t="37969" r="17541" b="34621"/>
        <a:stretch/>
      </xdr:blipFill>
      <xdr:spPr>
        <a:xfrm>
          <a:off x="527958" y="1028214"/>
          <a:ext cx="4386942" cy="18959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9FA85-BAD1-46D8-88BC-29F39E14009E}" name="Tableau1" displayName="Tableau1" ref="A37:P41" headerRowCount="0" totalsRowShown="0" headerRowDxfId="113" dataDxfId="112" tableBorderDxfId="111" totalsRowBorderDxfId="110">
  <tableColumns count="16">
    <tableColumn id="1" xr3:uid="{65D9B74A-90B3-4FE8-8B7C-3FE91617155F}" name="Colonne1" headerRowDxfId="109" dataDxfId="108"/>
    <tableColumn id="2" xr3:uid="{EC44B31C-96D3-44E9-BB76-8BB56D0A9CF5}" name="Colonne2" dataDxfId="107"/>
    <tableColumn id="19" xr3:uid="{9BB5839D-823D-4D20-9592-D3D36E3D7447}" name="Colonne17" dataDxfId="106"/>
    <tableColumn id="3" xr3:uid="{E477D748-3F49-4C80-9852-9891CAA2790B}" name="Colonne3" headerRowDxfId="105" dataDxfId="104"/>
    <tableColumn id="21" xr3:uid="{B6A2CA92-98A8-4146-B3B0-D8AA91FE2394}" name="Colonne19" headerRowDxfId="103" dataDxfId="102"/>
    <tableColumn id="4" xr3:uid="{52A97E17-7266-41DD-AD77-52DA26AF8E9B}" name="Colonne4" headerRowDxfId="101" dataDxfId="100"/>
    <tableColumn id="25" xr3:uid="{C6050E5F-3D3F-47B3-82FD-557A344D6553}" name="Colonne23" headerRowDxfId="99" dataDxfId="98"/>
    <tableColumn id="22" xr3:uid="{5AC56B25-73BE-46F3-B9CF-B369FFE741E0}" name="Colonne20" dataDxfId="97"/>
    <tableColumn id="16" xr3:uid="{64F8D394-90C7-427E-915D-54711281D76C}" name="Colonne42" dataDxfId="96"/>
    <tableColumn id="17" xr3:uid="{47C9A875-C64E-4E94-9CF4-8BA90F37A117}" name="Colonne52" dataDxfId="95"/>
    <tableColumn id="6" xr3:uid="{56AB4CF1-367E-4CFF-885E-3EDA16D1AE28}" name="Colonne6" headerRowDxfId="94" dataDxfId="93"/>
    <tableColumn id="7" xr3:uid="{5BD2EE6E-B23D-44CF-9BB5-294F14CF08EA}" name="Colonne7" dataDxfId="92"/>
    <tableColumn id="9" xr3:uid="{1672BF44-D137-4027-B1EA-B7026E464E95}" name="Colonne9" dataDxfId="91"/>
    <tableColumn id="10" xr3:uid="{661A3B6E-E1E6-45FA-AA5F-1BA4E9AA57BE}" name="Colonne10" headerRowDxfId="90" dataDxfId="89"/>
    <tableColumn id="11" xr3:uid="{FDC77181-F2BD-4161-A2DE-4D66FB7853C1}" name="Colonne11" dataDxfId="88"/>
    <tableColumn id="12" xr3:uid="{5FEF3A5F-0E20-4668-8A07-9DB4A42B6C3F}" name="Colonne12" headerRowDxfId="87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DC9D8-C9CB-47B6-B196-F1388C8DC4CD}" name="Tableau13" displayName="Tableau13" ref="A5:I9" headerRowCount="0" totalsRowShown="0" headerRowDxfId="85" dataDxfId="84" tableBorderDxfId="83" totalsRowBorderDxfId="82">
  <tableColumns count="9">
    <tableColumn id="1" xr3:uid="{8972AE5B-D7D5-43E0-A368-DC6E5B31EA28}" name="Colonne1" headerRowDxfId="81" dataDxfId="80" totalsRowDxfId="79"/>
    <tableColumn id="2" xr3:uid="{ACE2D1A4-70EF-498A-BE05-2C631B4641DB}" name="Colonne2" dataDxfId="78" totalsRowDxfId="77"/>
    <tableColumn id="19" xr3:uid="{2425AB27-7C66-4054-A76E-D9959BF4D6BF}" name="Colonne17" dataDxfId="76" totalsRowDxfId="75"/>
    <tableColumn id="3" xr3:uid="{4D33AE83-9767-448E-8427-5BED61B11A87}" name="Colonne3" headerRowDxfId="74" dataDxfId="73" totalsRowDxfId="72"/>
    <tableColumn id="21" xr3:uid="{48D8A2FD-A160-4AEA-9701-03A82F2670F4}" name="Colonne19" headerRowDxfId="71" dataDxfId="70" totalsRowDxfId="69"/>
    <tableColumn id="4" xr3:uid="{0A6F71DC-967A-4A7E-A4DF-94721A32B5C5}" name="Colonne4" headerRowDxfId="68" dataDxfId="67" totalsRowDxfId="66"/>
    <tableColumn id="25" xr3:uid="{C3482FFB-EAC3-4F3A-90E2-B0A1164CF128}" name="Colonne23" headerRowDxfId="65" dataDxfId="64" totalsRowDxfId="63"/>
    <tableColumn id="22" xr3:uid="{F66A39EF-3B9A-47B4-9742-BBE3DE13BDE9}" name="Colonne20" dataDxfId="62" totalsRowDxfId="61"/>
    <tableColumn id="16" xr3:uid="{13191644-567F-49EB-934F-E2F2A93C1C7B}" name="Colonne42" dataDxfId="60" totalsRow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FAFC5-6188-424E-9376-900B1FF34355}" name="Tableau134" displayName="Tableau134" ref="B6:K10" headerRowCount="0" totalsRowShown="0" headerRowDxfId="58" dataDxfId="57" tableBorderDxfId="56" totalsRowBorderDxfId="55">
  <tableColumns count="10">
    <tableColumn id="1" xr3:uid="{3AD1CA60-F1DE-44DC-8ADB-4E13FB4C995D}" name="Colonne1" headerRowDxfId="54" dataDxfId="53" totalsRowDxfId="52"/>
    <tableColumn id="5" xr3:uid="{EB7B6F7E-43D3-4A37-86D0-AFBF1303D362}" name="Colonne5" headerRowDxfId="51" dataDxfId="50" totalsRowDxfId="49"/>
    <tableColumn id="2" xr3:uid="{10D071A5-A4E3-499C-A84E-AF17F4284F72}" name="Colonne2" dataDxfId="48" totalsRowDxfId="47"/>
    <tableColumn id="19" xr3:uid="{B932801F-3BD4-4C95-8128-D2F8484A65FA}" name="Colonne17" dataDxfId="46" totalsRowDxfId="45"/>
    <tableColumn id="3" xr3:uid="{A3A61C33-7A08-446B-984E-2DA5E0B69CE8}" name="Colonne3" headerRowDxfId="44" dataDxfId="43" totalsRowDxfId="42"/>
    <tableColumn id="21" xr3:uid="{43937790-41D4-48C5-99E0-A3FC1A8E0800}" name="Colonne19" headerRowDxfId="41" dataDxfId="40" totalsRowDxfId="39"/>
    <tableColumn id="4" xr3:uid="{A5F3AAA3-F87C-44DB-9AA0-B9139E204DD9}" name="Colonne4" headerRowDxfId="38" dataDxfId="37" totalsRowDxfId="36"/>
    <tableColumn id="25" xr3:uid="{9C483E1A-9C73-45CC-870D-D8387AFAB7B5}" name="Colonne23" headerRowDxfId="35" dataDxfId="34" totalsRowDxfId="33"/>
    <tableColumn id="22" xr3:uid="{5EA2DEB5-4766-40BE-9639-3201A305D701}" name="Colonne20" dataDxfId="32" totalsRowDxfId="31"/>
    <tableColumn id="16" xr3:uid="{73732BAF-2038-4D45-B7B2-A5128C1402C7}" name="Colonne42" dataDxfId="30" totalsRow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D1B74D-04E2-4303-BB06-B48056037D31}" name="Tableau1346" displayName="Tableau1346" ref="B9:J11" headerRowCount="0" totalsRowShown="0" headerRowDxfId="28" dataDxfId="27" tableBorderDxfId="26" totalsRowBorderDxfId="25">
  <tableColumns count="9">
    <tableColumn id="5" xr3:uid="{146C6D3E-3E05-4C72-B530-38A24ABA127F}" name="Colonne5" headerRowDxfId="24" dataDxfId="23" totalsRowDxfId="22"/>
    <tableColumn id="2" xr3:uid="{13FE4ABC-8EA5-4853-9C59-ABA0C27E3182}" name="Colonne2" dataDxfId="21" totalsRowDxfId="20"/>
    <tableColumn id="19" xr3:uid="{9DCB2605-F5F3-477F-9238-3D5691077497}" name="Colonne17" dataDxfId="19" totalsRowDxfId="18"/>
    <tableColumn id="3" xr3:uid="{04DB656A-6307-4B77-B842-E8CD8481588F}" name="Colonne3" headerRowDxfId="17" dataDxfId="16" totalsRowDxfId="15"/>
    <tableColumn id="21" xr3:uid="{5A7DFD7F-2F70-4168-A7B8-977983E5151A}" name="Colonne19" headerRowDxfId="14" dataDxfId="13" totalsRowDxfId="12"/>
    <tableColumn id="1" xr3:uid="{24A31AEF-D849-4F47-B5C1-7D8AB1D18F95}" name="Colonne1" headerRowDxfId="11" dataDxfId="10" totalsRowDxfId="9"/>
    <tableColumn id="6" xr3:uid="{47A2CD2C-CD23-46E5-8BE2-7D441EF76EAA}" name="Colonne6" headerRowDxfId="8" dataDxfId="7" totalsRowDxfId="6"/>
    <tableColumn id="4" xr3:uid="{3CFC32D4-DCAC-4FAA-8F6D-0FC2C8444A17}" name="Colonne4" headerRowDxfId="5" dataDxfId="4" totalsRowDxfId="3"/>
    <tableColumn id="25" xr3:uid="{76DC0AF7-1C2B-46C7-BCFC-A16D351593AB}" name="Colonne23" headerRowDxfId="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idrerie.compton@gmail.com" TargetMode="External"/><Relationship Id="rId3" Type="http://schemas.openxmlformats.org/officeDocument/2006/relationships/hyperlink" Target="mailto:vergerlapommalbonne@gmail.com" TargetMode="External"/><Relationship Id="rId7" Type="http://schemas.openxmlformats.org/officeDocument/2006/relationships/hyperlink" Target="https://www.google.com/search?q=cidrerie+compton&amp;rlz=1C1CHBF_frCA1038CA1038&amp;sxsrf=APwXEdejaY8Jtiy9hzhfmvhqqbdRWbScQw%3A1682710649122&amp;ei=eSBMZKmJB6SpptQPucud2A4&amp;gs_ssp=eJzj4tVP1zc0zLIosSjKSsk2YLRSNagwSU4yMzU0SrVMTElMMzNLszKosDA0NjRLTE1KTk4ztDBPsvASSM5MKUotykxVSM7PLSjJzwMAAmAWZw&amp;oq=cidre&amp;gs_lcp=Cgxnd3Mtd2l6LXNlcnAQARgBMg0ILhCvARDHARCKBRAnMg0ILhCvARDHARCKBRAnMgcIIxCKBRAnMgsIABCABBCxAxCDATILCC4QgAQQxwEQrwEyBQguEIAEMgUILhCABDIFCAAQgAQyCwguEIAEEMcBEK8BMgUIABCABDIZCC4QrwEQxwEQigUQ3AQQlwUQ3gQQ4AQYAToICC4QigUQkQI6CAgAEIoFEJECOggIABCABBCxAzoRCC4QgAQQsQMQgwEQxwEQ0QM6DgguEIAEELEDEMcBENEDOhQILhCABBCxAxCDARDHARDRAxDUAjoWCC4QigUQkQIQ3AQQlwUQ3gQQ3wQYAToNCC4QigUQxwEQrwEQJzoTCC4QigUQsQMQgwEQxwEQ0QMQQzoHCAAQigUQQzoNCC4QigUQxwEQrwEQQzoHCC4QigUQQzoLCAAQigUQsQMQkQI6CggAEIoFELEDEENKBAhBGABQAFihBWDCDmgAcAF4AIABnQGIAZgFkgEDMC41mAEAoAEBwAEB2gEGCAEQARgU&amp;sclient=gws-wiz-serp" TargetMode="External"/><Relationship Id="rId2" Type="http://schemas.openxmlformats.org/officeDocument/2006/relationships/hyperlink" Target="https://www.lapommalbonne.com/copie-de-accueil-1" TargetMode="External"/><Relationship Id="rId1" Type="http://schemas.openxmlformats.org/officeDocument/2006/relationships/hyperlink" Target="https://www.google.com/search?gs_ssp=eJzj4tVP1zc0TEpOTjEsSjEwYLRSMagwSU4yMzU0S0k1STM2MjNMsTKosEhMsUyytEwxTDQwTUlL8uLLSVQoyM_NTcxJys_LSwUArRUU5w&amp;q=la+pommalbonne&amp;rlz=1C1CHBF_enCA822CA822&amp;oq=la+pomma&amp;aqs=chrome.1.0i355i512j46i175i199i512j69i57j0i10j46i10i175i199j46i10j46i10i175i199l2j0i10l2.3424j0j7&amp;sourceid=chrome&amp;ie=UTF-8" TargetMode="External"/><Relationship Id="rId6" Type="http://schemas.openxmlformats.org/officeDocument/2006/relationships/hyperlink" Target="http://vergerbiodessources.ca/" TargetMode="External"/><Relationship Id="rId5" Type="http://schemas.openxmlformats.org/officeDocument/2006/relationships/hyperlink" Target="mailto:info-visiteur@abbaye.c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bbaye.ca/visiter-labbaye/vergers/" TargetMode="External"/><Relationship Id="rId9" Type="http://schemas.openxmlformats.org/officeDocument/2006/relationships/hyperlink" Target="mailto:b.gervais@cidreriemilton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tension.purdue.edu/extmedia/BP/BP-132-W.pdf" TargetMode="External"/><Relationship Id="rId2" Type="http://schemas.openxmlformats.org/officeDocument/2006/relationships/hyperlink" Target="https://blogs.cornell.edu/khanlab/extension/fire-blight-susceptibility-of-common-apple-cultivars/" TargetMode="External"/><Relationship Id="rId1" Type="http://schemas.openxmlformats.org/officeDocument/2006/relationships/hyperlink" Target="https://www.agrireseau.net/documents/Document_105431.pdf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99B2-C3FD-4262-88D2-CB2099092042}">
  <sheetPr>
    <pageSetUpPr fitToPage="1"/>
  </sheetPr>
  <dimension ref="A1:L12"/>
  <sheetViews>
    <sheetView zoomScale="130" zoomScaleNormal="130" workbookViewId="0">
      <selection sqref="A1:I7"/>
    </sheetView>
  </sheetViews>
  <sheetFormatPr baseColWidth="10" defaultRowHeight="15" x14ac:dyDescent="0.2"/>
  <cols>
    <col min="1" max="1" width="27.1640625" customWidth="1"/>
    <col min="2" max="2" width="13.83203125" bestFit="1" customWidth="1"/>
    <col min="3" max="3" width="3.5" bestFit="1" customWidth="1"/>
    <col min="4" max="4" width="8.6640625" customWidth="1"/>
    <col min="5" max="5" width="30.5" customWidth="1"/>
    <col min="6" max="6" width="15.1640625" customWidth="1"/>
    <col min="7" max="8" width="16.5" customWidth="1"/>
    <col min="9" max="9" width="32.83203125" customWidth="1"/>
    <col min="10" max="10" width="24.1640625" customWidth="1"/>
    <col min="11" max="11" width="15.5" customWidth="1"/>
  </cols>
  <sheetData>
    <row r="1" spans="1:12" x14ac:dyDescent="0.2">
      <c r="A1" s="1" t="s">
        <v>0</v>
      </c>
      <c r="B1" s="1" t="s">
        <v>113</v>
      </c>
      <c r="C1" s="1"/>
      <c r="D1" s="1" t="s">
        <v>1</v>
      </c>
      <c r="E1" s="1" t="s">
        <v>2</v>
      </c>
      <c r="F1" s="2" t="s">
        <v>3</v>
      </c>
      <c r="G1" s="1" t="s">
        <v>5</v>
      </c>
      <c r="H1" s="1"/>
      <c r="I1" s="2" t="s">
        <v>4</v>
      </c>
      <c r="J1" s="1" t="s">
        <v>6</v>
      </c>
      <c r="K1" s="1" t="s">
        <v>7</v>
      </c>
    </row>
    <row r="2" spans="1:12" ht="32" x14ac:dyDescent="0.2">
      <c r="A2" s="81" t="s">
        <v>15</v>
      </c>
      <c r="B2" s="81" t="s">
        <v>951</v>
      </c>
      <c r="C2" s="81" t="s">
        <v>548</v>
      </c>
      <c r="D2" s="81" t="s">
        <v>16</v>
      </c>
      <c r="E2" s="82" t="s">
        <v>17</v>
      </c>
      <c r="F2" s="83" t="s">
        <v>120</v>
      </c>
      <c r="G2" s="85" t="s">
        <v>112</v>
      </c>
      <c r="H2" s="85" t="s">
        <v>954</v>
      </c>
      <c r="I2" s="84" t="s">
        <v>18</v>
      </c>
      <c r="J2" s="84" t="s">
        <v>19</v>
      </c>
      <c r="K2" s="81" t="s">
        <v>20</v>
      </c>
    </row>
    <row r="3" spans="1:12" ht="32" x14ac:dyDescent="0.2">
      <c r="A3" s="81" t="s">
        <v>8</v>
      </c>
      <c r="B3" s="81" t="s">
        <v>951</v>
      </c>
      <c r="C3" s="81" t="s">
        <v>545</v>
      </c>
      <c r="D3" s="81" t="s">
        <v>9</v>
      </c>
      <c r="E3" s="82" t="s">
        <v>10</v>
      </c>
      <c r="F3" s="83" t="s">
        <v>111</v>
      </c>
      <c r="G3" s="81" t="s">
        <v>12</v>
      </c>
      <c r="H3" s="81" t="s">
        <v>953</v>
      </c>
      <c r="I3" s="84" t="s">
        <v>11</v>
      </c>
      <c r="J3" s="84" t="s">
        <v>13</v>
      </c>
      <c r="K3" s="81" t="s">
        <v>14</v>
      </c>
      <c r="L3" s="3"/>
    </row>
    <row r="4" spans="1:12" ht="32" x14ac:dyDescent="0.2">
      <c r="A4" s="3" t="s">
        <v>90</v>
      </c>
      <c r="B4" s="3" t="s">
        <v>952</v>
      </c>
      <c r="C4" s="3" t="s">
        <v>546</v>
      </c>
      <c r="D4" s="3" t="s">
        <v>96</v>
      </c>
      <c r="E4" s="81" t="s">
        <v>109</v>
      </c>
      <c r="F4" s="83" t="s">
        <v>967</v>
      </c>
      <c r="G4" s="81" t="s">
        <v>968</v>
      </c>
      <c r="H4" s="81" t="s">
        <v>969</v>
      </c>
      <c r="I4" s="87" t="s">
        <v>110</v>
      </c>
      <c r="J4" s="3"/>
      <c r="K4" s="3"/>
    </row>
    <row r="5" spans="1:12" ht="32" x14ac:dyDescent="0.2">
      <c r="A5" s="86" t="s">
        <v>549</v>
      </c>
      <c r="B5" s="86" t="s">
        <v>952</v>
      </c>
      <c r="C5" s="86" t="s">
        <v>547</v>
      </c>
      <c r="D5" s="86" t="s">
        <v>22</v>
      </c>
      <c r="E5" s="86" t="s">
        <v>23</v>
      </c>
      <c r="F5" s="86" t="s">
        <v>24</v>
      </c>
      <c r="G5" s="86" t="s">
        <v>25</v>
      </c>
      <c r="H5" s="86" t="s">
        <v>953</v>
      </c>
      <c r="I5" s="84" t="s">
        <v>971</v>
      </c>
      <c r="J5" s="84" t="s">
        <v>26</v>
      </c>
      <c r="K5" s="86" t="s">
        <v>27</v>
      </c>
    </row>
    <row r="6" spans="1:12" ht="16" x14ac:dyDescent="0.2">
      <c r="A6" s="81" t="s">
        <v>552</v>
      </c>
      <c r="B6" s="81" t="s">
        <v>951</v>
      </c>
      <c r="C6" s="81" t="s">
        <v>543</v>
      </c>
      <c r="D6" s="3" t="s">
        <v>95</v>
      </c>
      <c r="E6" s="100" t="s">
        <v>101</v>
      </c>
      <c r="F6" s="101" t="s">
        <v>970</v>
      </c>
      <c r="G6" s="102" t="s">
        <v>966</v>
      </c>
      <c r="H6" s="104" t="s">
        <v>953</v>
      </c>
      <c r="I6" s="103" t="s">
        <v>965</v>
      </c>
      <c r="J6" s="3"/>
      <c r="K6" s="3"/>
    </row>
    <row r="7" spans="1:12" ht="16" x14ac:dyDescent="0.2">
      <c r="A7" s="81" t="s">
        <v>550</v>
      </c>
      <c r="B7" s="81" t="s">
        <v>952</v>
      </c>
      <c r="C7" s="81" t="s">
        <v>544</v>
      </c>
      <c r="D7" s="3" t="s">
        <v>94</v>
      </c>
      <c r="E7" s="100"/>
      <c r="F7" s="101"/>
      <c r="G7" s="102"/>
      <c r="H7" s="104"/>
      <c r="I7" s="103"/>
      <c r="J7" s="3"/>
      <c r="K7" s="3"/>
    </row>
    <row r="9" spans="1:12" x14ac:dyDescent="0.2">
      <c r="F9" s="22"/>
      <c r="I9" s="17"/>
    </row>
    <row r="10" spans="1:12" x14ac:dyDescent="0.2">
      <c r="F10" s="22"/>
      <c r="I10" s="17"/>
    </row>
    <row r="11" spans="1:12" x14ac:dyDescent="0.2">
      <c r="I11" s="17"/>
    </row>
    <row r="12" spans="1:12" x14ac:dyDescent="0.2">
      <c r="I12" s="17"/>
    </row>
  </sheetData>
  <mergeCells count="5">
    <mergeCell ref="E6:E7"/>
    <mergeCell ref="F6:F7"/>
    <mergeCell ref="G6:G7"/>
    <mergeCell ref="I6:I7"/>
    <mergeCell ref="H6:H7"/>
  </mergeCells>
  <hyperlinks>
    <hyperlink ref="F3" r:id="rId1" display="https://www.google.com/search?gs_ssp=eJzj4tVP1zc0TEpOTjEsSjEwYLRSMagwSU4yMzU0S0k1STM2MjNMsTKosEhMsUyytEwxTDQwTUlL8uLLSVQoyM_NTcxJys_LSwUArRUU5w&amp;q=la+pommalbonne&amp;rlz=1C1CHBF_enCA822CA822&amp;oq=la+pomma&amp;aqs=chrome.1.0i355i512j46i175i199i512j69i57j0i10j46i10i175i199j46i10j46i10i175i199l2j0i10l2.3424j0j7&amp;sourceid=chrome&amp;ie=UTF-8" xr:uid="{BF096E3A-F091-4B79-B2DD-FD4D9B7CF6D9}"/>
    <hyperlink ref="J3" r:id="rId2" xr:uid="{0F1963D3-169F-40C1-A2CA-8B4B01B58ABB}"/>
    <hyperlink ref="I3" r:id="rId3" display="mailto:vergerlapommalbonne@gmail.com" xr:uid="{01D827D5-2B30-40EB-AB5E-23EA03A5E76D}"/>
    <hyperlink ref="J2" r:id="rId4" xr:uid="{BEFB89CB-ECAF-4049-A86C-4758BD2FAD86}"/>
    <hyperlink ref="I2" r:id="rId5" display="mailto:info-visiteur@abbaye.ca" xr:uid="{6F6962A6-68AF-4356-8809-0DDE082E0042}"/>
    <hyperlink ref="J5" r:id="rId6" xr:uid="{21623285-007D-4FEE-AFF7-2E1A8081BA11}"/>
    <hyperlink ref="F4" r:id="rId7" display="https://www.google.com/search?q=cidrerie+compton&amp;rlz=1C1CHBF_frCA1038CA1038&amp;sxsrf=APwXEdejaY8Jtiy9hzhfmvhqqbdRWbScQw%3A1682710649122&amp;ei=eSBMZKmJB6SpptQPucud2A4&amp;gs_ssp=eJzj4tVP1zc0zLIosSjKSsk2YLRSNagwSU4yMzU0SrVMTElMMzNLszKosDA0NjRLTE1KTk4ztDBPsvASSM5MKUotykxVSM7PLSjJzwMAAmAWZw&amp;oq=cidre&amp;gs_lcp=Cgxnd3Mtd2l6LXNlcnAQARgBMg0ILhCvARDHARCKBRAnMg0ILhCvARDHARCKBRAnMgcIIxCKBRAnMgsIABCABBCxAxCDATILCC4QgAQQxwEQrwEyBQguEIAEMgUILhCABDIFCAAQgAQyCwguEIAEEMcBEK8BMgUIABCABDIZCC4QrwEQxwEQigUQ3AQQlwUQ3gQQ4AQYAToICC4QigUQkQI6CAgAEIoFEJECOggIABCABBCxAzoRCC4QgAQQsQMQgwEQxwEQ0QM6DgguEIAEELEDEMcBENEDOhQILhCABBCxAxCDARDHARDRAxDUAjoWCC4QigUQkQIQ3AQQlwUQ3gQQ3wQYAToNCC4QigUQxwEQrwEQJzoTCC4QigUQsQMQgwEQxwEQ0QMQQzoHCAAQigUQQzoNCC4QigUQxwEQrwEQQzoHCC4QigUQQzoLCAAQigUQsQMQkQI6CggAEIoFELEDEENKBAhBGABQAFihBWDCDmgAcAF4AIABnQGIAZgFkgEDMC41mAEAoAEBwAEB2gEGCAEQARgU&amp;sclient=gws-wiz-serp" xr:uid="{B9A81C7A-8CE2-4F5A-A820-7337092769D3}"/>
    <hyperlink ref="I4" r:id="rId8" xr:uid="{88985989-5072-48D9-966C-92EED59A09C8}"/>
    <hyperlink ref="I6" r:id="rId9" xr:uid="{C326CB94-C22C-49E9-8D65-7DA8998486D8}"/>
  </hyperlinks>
  <pageMargins left="0.7" right="0.7" top="0.75" bottom="0.75" header="0.3" footer="0.3"/>
  <pageSetup scale="59" fitToHeight="0"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FDA3-B931-44E3-A46C-3C2105BA9231}">
  <dimension ref="B4:K29"/>
  <sheetViews>
    <sheetView topLeftCell="A7" workbookViewId="0">
      <selection activeCell="B21" sqref="B21"/>
    </sheetView>
  </sheetViews>
  <sheetFormatPr baseColWidth="10" defaultRowHeight="15" x14ac:dyDescent="0.2"/>
  <sheetData>
    <row r="4" spans="2:11" x14ac:dyDescent="0.2">
      <c r="B4" s="16" t="s">
        <v>83</v>
      </c>
      <c r="H4" t="s">
        <v>84</v>
      </c>
    </row>
    <row r="5" spans="2:11" ht="16" thickBot="1" x14ac:dyDescent="0.25"/>
    <row r="6" spans="2:11" ht="52" thickBot="1" x14ac:dyDescent="0.25">
      <c r="H6" s="4" t="s">
        <v>28</v>
      </c>
      <c r="I6" s="4" t="s">
        <v>29</v>
      </c>
      <c r="J6" s="4" t="s">
        <v>30</v>
      </c>
      <c r="K6" s="4" t="s">
        <v>31</v>
      </c>
    </row>
    <row r="7" spans="2:11" ht="16" x14ac:dyDescent="0.2">
      <c r="H7" s="105" t="s">
        <v>32</v>
      </c>
      <c r="I7" s="14" t="s">
        <v>33</v>
      </c>
      <c r="J7" s="5" t="s">
        <v>41</v>
      </c>
      <c r="K7" s="5" t="s">
        <v>64</v>
      </c>
    </row>
    <row r="8" spans="2:11" ht="16" x14ac:dyDescent="0.2">
      <c r="H8" s="106"/>
      <c r="I8" s="13" t="s">
        <v>34</v>
      </c>
      <c r="J8" s="6" t="s">
        <v>42</v>
      </c>
      <c r="K8" s="6" t="s">
        <v>65</v>
      </c>
    </row>
    <row r="9" spans="2:11" ht="32" x14ac:dyDescent="0.2">
      <c r="H9" s="106"/>
      <c r="I9" s="6" t="s">
        <v>35</v>
      </c>
      <c r="J9" s="9" t="s">
        <v>43</v>
      </c>
      <c r="K9" s="12" t="s">
        <v>66</v>
      </c>
    </row>
    <row r="10" spans="2:11" ht="32" x14ac:dyDescent="0.2">
      <c r="H10" s="106"/>
      <c r="I10" s="10" t="s">
        <v>36</v>
      </c>
      <c r="J10" s="6" t="s">
        <v>44</v>
      </c>
      <c r="K10" s="6" t="s">
        <v>67</v>
      </c>
    </row>
    <row r="11" spans="2:11" ht="32" x14ac:dyDescent="0.2">
      <c r="B11" t="s">
        <v>85</v>
      </c>
      <c r="C11" t="s">
        <v>89</v>
      </c>
      <c r="H11" s="106"/>
      <c r="I11" s="6" t="s">
        <v>37</v>
      </c>
      <c r="J11" s="8" t="s">
        <v>45</v>
      </c>
      <c r="K11" s="12" t="s">
        <v>68</v>
      </c>
    </row>
    <row r="12" spans="2:11" ht="32" x14ac:dyDescent="0.2">
      <c r="B12" t="s">
        <v>86</v>
      </c>
      <c r="C12" t="s">
        <v>88</v>
      </c>
      <c r="H12" s="106"/>
      <c r="I12" s="6" t="s">
        <v>38</v>
      </c>
      <c r="J12" s="6" t="s">
        <v>46</v>
      </c>
      <c r="K12" s="6" t="s">
        <v>69</v>
      </c>
    </row>
    <row r="13" spans="2:11" ht="32" x14ac:dyDescent="0.2">
      <c r="B13" t="s">
        <v>87</v>
      </c>
      <c r="C13" t="s">
        <v>93</v>
      </c>
      <c r="H13" s="106"/>
      <c r="I13" s="6" t="s">
        <v>39</v>
      </c>
      <c r="J13" s="6" t="s">
        <v>47</v>
      </c>
      <c r="K13" s="6" t="s">
        <v>70</v>
      </c>
    </row>
    <row r="14" spans="2:11" ht="16" x14ac:dyDescent="0.2">
      <c r="H14" s="106"/>
      <c r="I14" s="6" t="s">
        <v>40</v>
      </c>
      <c r="J14" s="6" t="s">
        <v>48</v>
      </c>
      <c r="K14" s="6" t="s">
        <v>71</v>
      </c>
    </row>
    <row r="15" spans="2:11" ht="32" x14ac:dyDescent="0.2">
      <c r="H15" s="106"/>
      <c r="I15" s="6"/>
      <c r="J15" s="6" t="s">
        <v>49</v>
      </c>
      <c r="K15" s="6" t="s">
        <v>72</v>
      </c>
    </row>
    <row r="16" spans="2:11" ht="32" x14ac:dyDescent="0.2">
      <c r="B16" t="s">
        <v>98</v>
      </c>
      <c r="H16" s="106"/>
      <c r="I16" s="6"/>
      <c r="J16" s="6" t="s">
        <v>50</v>
      </c>
      <c r="K16" s="6" t="s">
        <v>73</v>
      </c>
    </row>
    <row r="17" spans="2:11" ht="255" x14ac:dyDescent="0.2">
      <c r="B17" s="15" t="s">
        <v>99</v>
      </c>
      <c r="C17" s="15" t="s">
        <v>100</v>
      </c>
      <c r="D17" s="15" t="s">
        <v>97</v>
      </c>
      <c r="H17" s="106"/>
      <c r="I17" s="6"/>
      <c r="J17" s="8" t="s">
        <v>51</v>
      </c>
      <c r="K17" s="11" t="s">
        <v>74</v>
      </c>
    </row>
    <row r="18" spans="2:11" ht="16" x14ac:dyDescent="0.2">
      <c r="H18" s="106"/>
      <c r="I18" s="6"/>
      <c r="J18" s="6" t="s">
        <v>52</v>
      </c>
      <c r="K18" s="6" t="s">
        <v>75</v>
      </c>
    </row>
    <row r="19" spans="2:11" ht="16" x14ac:dyDescent="0.2">
      <c r="H19" s="106"/>
      <c r="I19" s="6"/>
      <c r="J19" s="6" t="s">
        <v>53</v>
      </c>
      <c r="K19" s="6" t="s">
        <v>76</v>
      </c>
    </row>
    <row r="20" spans="2:11" ht="32" x14ac:dyDescent="0.2">
      <c r="B20" s="16" t="s">
        <v>107</v>
      </c>
      <c r="H20" s="106"/>
      <c r="I20" s="6"/>
      <c r="J20" s="8" t="s">
        <v>54</v>
      </c>
      <c r="K20" s="6" t="s">
        <v>77</v>
      </c>
    </row>
    <row r="21" spans="2:11" ht="32" x14ac:dyDescent="0.2">
      <c r="B21" s="16" t="s">
        <v>108</v>
      </c>
      <c r="H21" s="106"/>
      <c r="I21" s="6"/>
      <c r="J21" s="6" t="s">
        <v>55</v>
      </c>
      <c r="K21" s="6" t="s">
        <v>78</v>
      </c>
    </row>
    <row r="22" spans="2:11" ht="32" x14ac:dyDescent="0.2">
      <c r="H22" s="106"/>
      <c r="I22" s="6"/>
      <c r="J22" s="6" t="s">
        <v>56</v>
      </c>
      <c r="K22" s="6" t="s">
        <v>79</v>
      </c>
    </row>
    <row r="23" spans="2:11" ht="16" x14ac:dyDescent="0.2">
      <c r="H23" s="106"/>
      <c r="I23" s="6"/>
      <c r="J23" s="6" t="s">
        <v>57</v>
      </c>
      <c r="K23" s="6" t="s">
        <v>80</v>
      </c>
    </row>
    <row r="24" spans="2:11" ht="32" x14ac:dyDescent="0.2">
      <c r="H24" s="106"/>
      <c r="I24" s="6"/>
      <c r="J24" s="6" t="s">
        <v>58</v>
      </c>
      <c r="K24" s="6" t="s">
        <v>81</v>
      </c>
    </row>
    <row r="25" spans="2:11" ht="48" x14ac:dyDescent="0.2">
      <c r="H25" s="106"/>
      <c r="I25" s="6"/>
      <c r="J25" s="6" t="s">
        <v>59</v>
      </c>
      <c r="K25" s="6" t="s">
        <v>82</v>
      </c>
    </row>
    <row r="26" spans="2:11" ht="16" x14ac:dyDescent="0.2">
      <c r="H26" s="106"/>
      <c r="I26" s="6"/>
      <c r="J26" s="8" t="s">
        <v>60</v>
      </c>
      <c r="K26" s="6"/>
    </row>
    <row r="27" spans="2:11" ht="16" x14ac:dyDescent="0.2">
      <c r="H27" s="106"/>
      <c r="I27" s="6"/>
      <c r="J27" s="6" t="s">
        <v>61</v>
      </c>
      <c r="K27" s="6"/>
    </row>
    <row r="28" spans="2:11" ht="16" x14ac:dyDescent="0.2">
      <c r="H28" s="106"/>
      <c r="I28" s="6"/>
      <c r="J28" s="6" t="s">
        <v>62</v>
      </c>
      <c r="K28" s="6"/>
    </row>
    <row r="29" spans="2:11" ht="17" thickBot="1" x14ac:dyDescent="0.25">
      <c r="H29" s="107"/>
      <c r="I29" s="7"/>
      <c r="J29" s="7" t="s">
        <v>63</v>
      </c>
      <c r="K29" s="7"/>
    </row>
  </sheetData>
  <mergeCells count="1">
    <mergeCell ref="H7:H29"/>
  </mergeCells>
  <hyperlinks>
    <hyperlink ref="B4" r:id="rId1" xr:uid="{7B06D301-998A-4D4D-8A9B-F365D0E38548}"/>
    <hyperlink ref="B20" r:id="rId2" xr:uid="{F6B006F2-2C85-4F62-A52F-86A0EB9F2066}"/>
    <hyperlink ref="B21" r:id="rId3" xr:uid="{1A341D75-9CDB-4873-A079-A10DFC307933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94F5-CCD8-4018-B3A0-8765CCEB2315}">
  <sheetPr>
    <pageSetUpPr fitToPage="1"/>
  </sheetPr>
  <dimension ref="A3:P51"/>
  <sheetViews>
    <sheetView zoomScale="110" zoomScaleNormal="110" workbookViewId="0">
      <selection activeCell="L28" sqref="L28"/>
    </sheetView>
  </sheetViews>
  <sheetFormatPr baseColWidth="10" defaultRowHeight="15" x14ac:dyDescent="0.2"/>
  <cols>
    <col min="1" max="1" width="22.83203125" customWidth="1"/>
    <col min="2" max="6" width="11.5" customWidth="1"/>
    <col min="7" max="7" width="16.83203125" customWidth="1"/>
    <col min="8" max="9" width="11.5" customWidth="1"/>
    <col min="10" max="10" width="15" customWidth="1"/>
    <col min="11" max="12" width="12.5" customWidth="1"/>
    <col min="13" max="13" width="18.1640625" customWidth="1"/>
    <col min="14" max="15" width="12.5" customWidth="1"/>
    <col min="17" max="17" width="13.5" customWidth="1"/>
    <col min="24" max="24" width="14.6640625" customWidth="1"/>
    <col min="26" max="26" width="12.6640625" customWidth="1"/>
  </cols>
  <sheetData>
    <row r="3" spans="1:14" x14ac:dyDescent="0.2">
      <c r="A3" s="47" t="s">
        <v>122</v>
      </c>
      <c r="B3" s="108" t="s">
        <v>123</v>
      </c>
      <c r="C3" s="108"/>
      <c r="D3" s="108"/>
      <c r="E3" s="108"/>
      <c r="F3" s="108"/>
      <c r="G3" s="108"/>
      <c r="H3" s="108"/>
      <c r="I3" s="108"/>
      <c r="J3" s="21"/>
      <c r="K3" s="22"/>
      <c r="L3" s="22"/>
      <c r="M3" s="22"/>
      <c r="N3" s="22"/>
    </row>
    <row r="4" spans="1:14" x14ac:dyDescent="0.2">
      <c r="A4" s="36" t="s">
        <v>90</v>
      </c>
      <c r="B4" s="18"/>
      <c r="C4" s="18"/>
      <c r="D4" s="30" t="s">
        <v>51</v>
      </c>
      <c r="E4" s="30" t="s">
        <v>60</v>
      </c>
      <c r="F4" s="19"/>
      <c r="G4" s="29" t="s">
        <v>45</v>
      </c>
      <c r="H4" s="40"/>
      <c r="I4" s="30" t="s">
        <v>62</v>
      </c>
      <c r="J4" s="17"/>
      <c r="K4" s="17"/>
      <c r="L4" s="22"/>
    </row>
    <row r="5" spans="1:14" x14ac:dyDescent="0.2">
      <c r="A5" s="34" t="s">
        <v>8</v>
      </c>
      <c r="B5" s="28" t="s">
        <v>43</v>
      </c>
      <c r="C5" s="28" t="s">
        <v>74</v>
      </c>
      <c r="D5" s="30" t="s">
        <v>51</v>
      </c>
      <c r="E5" s="30" t="s">
        <v>60</v>
      </c>
      <c r="F5" s="29" t="s">
        <v>36</v>
      </c>
      <c r="G5" s="29" t="s">
        <v>115</v>
      </c>
      <c r="H5" s="41"/>
      <c r="I5" s="30" t="s">
        <v>62</v>
      </c>
      <c r="J5" s="22"/>
      <c r="K5" s="17"/>
      <c r="L5" s="22"/>
      <c r="M5" s="3"/>
      <c r="N5" s="3"/>
    </row>
    <row r="6" spans="1:14" x14ac:dyDescent="0.2">
      <c r="A6" s="35" t="s">
        <v>106</v>
      </c>
      <c r="B6" s="28" t="s">
        <v>43</v>
      </c>
      <c r="C6" s="28" t="s">
        <v>74</v>
      </c>
      <c r="D6" s="30" t="s">
        <v>51</v>
      </c>
      <c r="E6" s="30" t="s">
        <v>60</v>
      </c>
      <c r="F6" s="29" t="s">
        <v>36</v>
      </c>
      <c r="G6" s="29" t="s">
        <v>45</v>
      </c>
      <c r="H6" s="40"/>
      <c r="I6" s="31"/>
      <c r="J6" s="22"/>
      <c r="K6" s="17"/>
      <c r="L6" s="22"/>
      <c r="M6" s="3"/>
      <c r="N6" s="3"/>
    </row>
    <row r="7" spans="1:14" x14ac:dyDescent="0.2">
      <c r="A7" s="39" t="s">
        <v>21</v>
      </c>
      <c r="B7" s="28" t="s">
        <v>43</v>
      </c>
      <c r="C7" s="28" t="s">
        <v>74</v>
      </c>
      <c r="D7" s="30" t="s">
        <v>51</v>
      </c>
      <c r="E7" s="30" t="s">
        <v>60</v>
      </c>
      <c r="F7" s="27" t="s">
        <v>36</v>
      </c>
      <c r="G7" s="24"/>
      <c r="H7" s="29" t="s">
        <v>34</v>
      </c>
      <c r="I7" s="31"/>
      <c r="J7" s="22"/>
      <c r="K7" s="17"/>
      <c r="L7" s="22"/>
      <c r="M7" s="3"/>
      <c r="N7" s="3"/>
    </row>
    <row r="8" spans="1:14" x14ac:dyDescent="0.2">
      <c r="A8" s="38" t="s">
        <v>91</v>
      </c>
      <c r="B8" s="28" t="s">
        <v>43</v>
      </c>
      <c r="C8" s="28" t="s">
        <v>74</v>
      </c>
      <c r="D8" s="30" t="s">
        <v>51</v>
      </c>
      <c r="E8" s="30" t="s">
        <v>60</v>
      </c>
      <c r="F8" s="27" t="s">
        <v>118</v>
      </c>
      <c r="G8" s="29" t="s">
        <v>45</v>
      </c>
      <c r="H8" s="41"/>
      <c r="I8" s="30" t="s">
        <v>62</v>
      </c>
      <c r="J8" s="22"/>
      <c r="K8" s="17"/>
      <c r="L8" s="22"/>
      <c r="M8" s="3"/>
      <c r="N8" s="3"/>
    </row>
    <row r="9" spans="1:14" x14ac:dyDescent="0.2">
      <c r="A9" s="37" t="s">
        <v>92</v>
      </c>
      <c r="B9" s="28" t="s">
        <v>43</v>
      </c>
      <c r="C9" s="28" t="s">
        <v>74</v>
      </c>
      <c r="D9" s="30" t="s">
        <v>51</v>
      </c>
      <c r="E9" s="30" t="s">
        <v>60</v>
      </c>
      <c r="F9" s="27" t="s">
        <v>118</v>
      </c>
      <c r="G9" s="29" t="s">
        <v>45</v>
      </c>
      <c r="H9" s="41"/>
      <c r="I9" s="30" t="s">
        <v>62</v>
      </c>
      <c r="J9" s="22"/>
      <c r="K9" s="17"/>
      <c r="L9" s="22"/>
      <c r="M9" s="3"/>
      <c r="N9" s="3"/>
    </row>
    <row r="12" spans="1:14" ht="16" x14ac:dyDescent="0.2">
      <c r="A12" s="48" t="s">
        <v>122</v>
      </c>
      <c r="B12" s="42" t="s">
        <v>121</v>
      </c>
      <c r="C12" s="44" t="s">
        <v>125</v>
      </c>
      <c r="D12" s="44" t="s">
        <v>124</v>
      </c>
      <c r="E12" s="44" t="s">
        <v>127</v>
      </c>
      <c r="F12" s="48" t="s">
        <v>126</v>
      </c>
    </row>
    <row r="13" spans="1:14" x14ac:dyDescent="0.2">
      <c r="A13" s="36" t="s">
        <v>90</v>
      </c>
      <c r="B13" s="43">
        <v>4</v>
      </c>
      <c r="C13" s="43">
        <f>B13*3</f>
        <v>12</v>
      </c>
      <c r="D13" s="44">
        <f>C13*3</f>
        <v>36</v>
      </c>
      <c r="E13" s="40">
        <f>C13</f>
        <v>12</v>
      </c>
      <c r="F13" s="40">
        <f>E13+D13</f>
        <v>48</v>
      </c>
    </row>
    <row r="14" spans="1:14" x14ac:dyDescent="0.2">
      <c r="A14" s="34" t="s">
        <v>8</v>
      </c>
      <c r="B14" s="44">
        <v>7</v>
      </c>
      <c r="C14" s="43">
        <f t="shared" ref="C14:D14" si="0">B14*3</f>
        <v>21</v>
      </c>
      <c r="D14" s="44">
        <f t="shared" si="0"/>
        <v>63</v>
      </c>
      <c r="E14" s="45">
        <f t="shared" ref="E14:E18" si="1">C14</f>
        <v>21</v>
      </c>
      <c r="F14" s="45">
        <f t="shared" ref="F14:F18" si="2">E14+D14</f>
        <v>84</v>
      </c>
    </row>
    <row r="15" spans="1:14" x14ac:dyDescent="0.2">
      <c r="A15" s="35" t="s">
        <v>106</v>
      </c>
      <c r="B15" s="44">
        <v>6</v>
      </c>
      <c r="C15" s="43">
        <f t="shared" ref="C15:D15" si="3">B15*3</f>
        <v>18</v>
      </c>
      <c r="D15" s="44">
        <f t="shared" si="3"/>
        <v>54</v>
      </c>
      <c r="E15" s="45">
        <f t="shared" si="1"/>
        <v>18</v>
      </c>
      <c r="F15" s="45">
        <f t="shared" si="2"/>
        <v>72</v>
      </c>
    </row>
    <row r="16" spans="1:14" x14ac:dyDescent="0.2">
      <c r="A16" s="39" t="s">
        <v>21</v>
      </c>
      <c r="B16" s="44">
        <v>6</v>
      </c>
      <c r="C16" s="43">
        <f t="shared" ref="C16:D16" si="4">B16*3</f>
        <v>18</v>
      </c>
      <c r="D16" s="44">
        <f t="shared" si="4"/>
        <v>54</v>
      </c>
      <c r="E16" s="45">
        <f t="shared" si="1"/>
        <v>18</v>
      </c>
      <c r="F16" s="45">
        <f t="shared" si="2"/>
        <v>72</v>
      </c>
    </row>
    <row r="17" spans="1:6" x14ac:dyDescent="0.2">
      <c r="A17" s="38" t="s">
        <v>91</v>
      </c>
      <c r="B17" s="44">
        <v>7</v>
      </c>
      <c r="C17" s="43">
        <f t="shared" ref="C17:D17" si="5">B17*3</f>
        <v>21</v>
      </c>
      <c r="D17" s="44">
        <f t="shared" si="5"/>
        <v>63</v>
      </c>
      <c r="E17" s="45">
        <f t="shared" si="1"/>
        <v>21</v>
      </c>
      <c r="F17" s="45">
        <f t="shared" si="2"/>
        <v>84</v>
      </c>
    </row>
    <row r="18" spans="1:6" x14ac:dyDescent="0.2">
      <c r="A18" s="37" t="s">
        <v>92</v>
      </c>
      <c r="B18" s="44">
        <v>7</v>
      </c>
      <c r="C18" s="43">
        <f t="shared" ref="C18:D18" si="6">B18*3</f>
        <v>21</v>
      </c>
      <c r="D18" s="44">
        <f t="shared" si="6"/>
        <v>63</v>
      </c>
      <c r="E18" s="45">
        <f t="shared" si="1"/>
        <v>21</v>
      </c>
      <c r="F18" s="45">
        <f t="shared" si="2"/>
        <v>84</v>
      </c>
    </row>
    <row r="19" spans="1:6" x14ac:dyDescent="0.2">
      <c r="A19" s="109"/>
      <c r="B19" s="110"/>
      <c r="C19" s="110"/>
      <c r="D19" s="110"/>
      <c r="E19" s="111"/>
      <c r="F19" s="46">
        <f>SUM(F13:F18)</f>
        <v>444</v>
      </c>
    </row>
    <row r="20" spans="1:6" x14ac:dyDescent="0.2">
      <c r="B20" s="22"/>
      <c r="C20" s="3"/>
      <c r="D20" s="22"/>
      <c r="E20" s="3"/>
      <c r="F20" s="3"/>
    </row>
    <row r="21" spans="1:6" x14ac:dyDescent="0.2">
      <c r="A21" t="s">
        <v>128</v>
      </c>
      <c r="B21" s="22"/>
      <c r="C21" s="3"/>
      <c r="D21" s="22"/>
      <c r="E21" s="3"/>
      <c r="F21" s="3"/>
    </row>
    <row r="22" spans="1:6" x14ac:dyDescent="0.2">
      <c r="A22" t="s">
        <v>129</v>
      </c>
      <c r="B22" s="22"/>
      <c r="C22" s="3"/>
      <c r="D22" s="22"/>
      <c r="E22" s="3"/>
      <c r="F22" s="3"/>
    </row>
    <row r="23" spans="1:6" x14ac:dyDescent="0.2">
      <c r="A23" t="s">
        <v>130</v>
      </c>
      <c r="B23" s="22"/>
      <c r="C23" s="3"/>
      <c r="D23" s="22"/>
      <c r="E23" s="3"/>
      <c r="F23" s="3"/>
    </row>
    <row r="24" spans="1:6" x14ac:dyDescent="0.2">
      <c r="A24" t="s">
        <v>131</v>
      </c>
      <c r="B24" s="22"/>
      <c r="C24" s="3"/>
      <c r="D24" s="22"/>
      <c r="E24" s="3"/>
      <c r="F24" s="3"/>
    </row>
    <row r="25" spans="1:6" x14ac:dyDescent="0.2">
      <c r="A25" t="s">
        <v>132</v>
      </c>
      <c r="B25" s="22"/>
      <c r="C25" s="3"/>
      <c r="D25" s="22"/>
      <c r="E25" s="3"/>
      <c r="F25" s="3"/>
    </row>
    <row r="26" spans="1:6" x14ac:dyDescent="0.2">
      <c r="A26" t="s">
        <v>133</v>
      </c>
      <c r="B26" s="22"/>
      <c r="C26" s="3"/>
      <c r="D26" s="22"/>
      <c r="E26" s="3"/>
      <c r="F26" s="3"/>
    </row>
    <row r="27" spans="1:6" x14ac:dyDescent="0.2">
      <c r="A27" t="s">
        <v>134</v>
      </c>
      <c r="B27" s="22"/>
      <c r="C27" s="3"/>
      <c r="D27" s="22"/>
      <c r="E27" s="3"/>
      <c r="F27" s="3"/>
    </row>
    <row r="28" spans="1:6" x14ac:dyDescent="0.2">
      <c r="A28" t="s">
        <v>135</v>
      </c>
      <c r="B28" s="22"/>
      <c r="C28" s="3"/>
      <c r="D28" s="22"/>
      <c r="E28" s="3"/>
      <c r="F28" s="3"/>
    </row>
    <row r="29" spans="1:6" x14ac:dyDescent="0.2">
      <c r="A29" t="s">
        <v>137</v>
      </c>
      <c r="B29" s="22"/>
      <c r="C29" s="3"/>
      <c r="D29" s="22"/>
      <c r="E29" s="3"/>
      <c r="F29" s="3"/>
    </row>
    <row r="30" spans="1:6" x14ac:dyDescent="0.2">
      <c r="A30" t="s">
        <v>136</v>
      </c>
      <c r="B30" s="22"/>
      <c r="C30" s="3"/>
      <c r="D30" s="22"/>
      <c r="E30" s="3"/>
      <c r="F30" s="3"/>
    </row>
    <row r="31" spans="1:6" x14ac:dyDescent="0.2">
      <c r="B31" s="22"/>
      <c r="C31" s="3"/>
      <c r="D31" s="22"/>
      <c r="E31" s="3"/>
      <c r="F31" s="3"/>
    </row>
    <row r="32" spans="1:6" x14ac:dyDescent="0.2">
      <c r="B32" s="22"/>
      <c r="C32" s="3"/>
      <c r="D32" s="22"/>
      <c r="E32" s="3"/>
      <c r="F32" s="3"/>
    </row>
    <row r="33" spans="1:16" x14ac:dyDescent="0.2">
      <c r="B33" s="22"/>
      <c r="C33" s="3"/>
      <c r="D33" s="22"/>
      <c r="E33" s="3"/>
      <c r="F33" s="3"/>
    </row>
    <row r="34" spans="1:16" x14ac:dyDescent="0.2">
      <c r="B34" s="22"/>
      <c r="C34" s="3"/>
      <c r="D34" s="22"/>
      <c r="E34" s="3"/>
      <c r="F34" s="3"/>
    </row>
    <row r="35" spans="1:16" x14ac:dyDescent="0.2">
      <c r="B35" s="22"/>
      <c r="C35" s="3"/>
      <c r="D35" s="22"/>
      <c r="E35" s="3"/>
      <c r="F35" s="3"/>
    </row>
    <row r="36" spans="1:16" x14ac:dyDescent="0.2">
      <c r="A36" s="18" t="s">
        <v>90</v>
      </c>
      <c r="B36" s="18"/>
      <c r="C36" s="18"/>
      <c r="D36" s="18"/>
      <c r="E36" s="29" t="s">
        <v>45</v>
      </c>
      <c r="F36" s="32"/>
      <c r="G36" s="20" t="s">
        <v>105</v>
      </c>
      <c r="H36" s="20" t="s">
        <v>68</v>
      </c>
      <c r="I36" s="30" t="s">
        <v>51</v>
      </c>
      <c r="J36" s="19"/>
      <c r="K36" s="18"/>
      <c r="L36" s="18"/>
      <c r="M36" s="18"/>
      <c r="N36" s="18"/>
      <c r="O36" s="30" t="s">
        <v>60</v>
      </c>
      <c r="P36" s="30" t="s">
        <v>62</v>
      </c>
    </row>
    <row r="37" spans="1:16" x14ac:dyDescent="0.2">
      <c r="A37" s="18" t="s">
        <v>8</v>
      </c>
      <c r="B37" s="31" t="s">
        <v>41</v>
      </c>
      <c r="C37" s="18"/>
      <c r="D37" s="28" t="s">
        <v>43</v>
      </c>
      <c r="E37" s="29" t="s">
        <v>115</v>
      </c>
      <c r="F37" s="33"/>
      <c r="G37" s="20"/>
      <c r="H37" s="18"/>
      <c r="I37" s="30" t="s">
        <v>51</v>
      </c>
      <c r="J37" s="29" t="s">
        <v>36</v>
      </c>
      <c r="K37" s="31" t="s">
        <v>103</v>
      </c>
      <c r="L37" s="24" t="s">
        <v>54</v>
      </c>
      <c r="M37" s="28" t="s">
        <v>74</v>
      </c>
      <c r="N37" s="18" t="s">
        <v>102</v>
      </c>
      <c r="O37" s="30" t="s">
        <v>60</v>
      </c>
      <c r="P37" s="30" t="s">
        <v>62</v>
      </c>
    </row>
    <row r="38" spans="1:16" x14ac:dyDescent="0.2">
      <c r="A38" s="18" t="s">
        <v>106</v>
      </c>
      <c r="B38" s="31"/>
      <c r="C38" s="18" t="s">
        <v>104</v>
      </c>
      <c r="D38" s="28" t="s">
        <v>43</v>
      </c>
      <c r="E38" s="29" t="s">
        <v>45</v>
      </c>
      <c r="F38" s="23"/>
      <c r="G38" s="20" t="s">
        <v>105</v>
      </c>
      <c r="H38" s="20" t="s">
        <v>68</v>
      </c>
      <c r="I38" s="30" t="s">
        <v>51</v>
      </c>
      <c r="J38" s="29" t="s">
        <v>36</v>
      </c>
      <c r="K38" s="31"/>
      <c r="L38" s="24" t="s">
        <v>54</v>
      </c>
      <c r="M38" s="28" t="s">
        <v>74</v>
      </c>
      <c r="N38" s="18" t="s">
        <v>102</v>
      </c>
      <c r="O38" s="30" t="s">
        <v>60</v>
      </c>
      <c r="P38" s="31"/>
    </row>
    <row r="39" spans="1:16" x14ac:dyDescent="0.2">
      <c r="A39" s="33" t="s">
        <v>21</v>
      </c>
      <c r="B39" s="31"/>
      <c r="C39" s="18" t="s">
        <v>104</v>
      </c>
      <c r="D39" s="28" t="s">
        <v>43</v>
      </c>
      <c r="E39" s="24"/>
      <c r="F39" s="29" t="s">
        <v>34</v>
      </c>
      <c r="G39" s="18"/>
      <c r="H39" s="18"/>
      <c r="I39" s="30" t="s">
        <v>51</v>
      </c>
      <c r="J39" s="27" t="s">
        <v>36</v>
      </c>
      <c r="K39" s="31" t="s">
        <v>103</v>
      </c>
      <c r="L39" s="24"/>
      <c r="M39" s="28" t="s">
        <v>74</v>
      </c>
      <c r="N39" s="18"/>
      <c r="O39" s="30" t="s">
        <v>60</v>
      </c>
      <c r="P39" s="31"/>
    </row>
    <row r="40" spans="1:16" x14ac:dyDescent="0.2">
      <c r="A40" s="18" t="s">
        <v>91</v>
      </c>
      <c r="B40" s="31" t="s">
        <v>41</v>
      </c>
      <c r="C40" s="18"/>
      <c r="D40" s="28" t="s">
        <v>43</v>
      </c>
      <c r="E40" s="29" t="s">
        <v>45</v>
      </c>
      <c r="F40" s="23"/>
      <c r="G40" s="18"/>
      <c r="H40" s="18"/>
      <c r="I40" s="30" t="s">
        <v>51</v>
      </c>
      <c r="J40" s="27" t="s">
        <v>118</v>
      </c>
      <c r="K40" s="18"/>
      <c r="L40" s="24" t="s">
        <v>54</v>
      </c>
      <c r="M40" s="28" t="s">
        <v>74</v>
      </c>
      <c r="N40" s="18"/>
      <c r="O40" s="30" t="s">
        <v>60</v>
      </c>
      <c r="P40" s="30" t="s">
        <v>62</v>
      </c>
    </row>
    <row r="41" spans="1:16" x14ac:dyDescent="0.2">
      <c r="A41" s="33" t="s">
        <v>92</v>
      </c>
      <c r="B41" s="31" t="s">
        <v>41</v>
      </c>
      <c r="C41" s="18"/>
      <c r="D41" s="28" t="s">
        <v>43</v>
      </c>
      <c r="E41" s="29" t="s">
        <v>45</v>
      </c>
      <c r="F41" s="24"/>
      <c r="G41" s="18"/>
      <c r="H41" s="18"/>
      <c r="I41" s="30" t="s">
        <v>51</v>
      </c>
      <c r="J41" s="27" t="s">
        <v>118</v>
      </c>
      <c r="K41" s="18"/>
      <c r="L41" s="24" t="s">
        <v>54</v>
      </c>
      <c r="M41" s="28" t="s">
        <v>74</v>
      </c>
      <c r="N41" s="18"/>
      <c r="O41" s="30" t="s">
        <v>60</v>
      </c>
      <c r="P41" s="30" t="s">
        <v>62</v>
      </c>
    </row>
    <row r="44" spans="1:16" x14ac:dyDescent="0.2">
      <c r="D44">
        <f>37*3</f>
        <v>111</v>
      </c>
    </row>
    <row r="47" spans="1:16" x14ac:dyDescent="0.2">
      <c r="D47" t="s">
        <v>113</v>
      </c>
      <c r="E47" t="s">
        <v>119</v>
      </c>
    </row>
    <row r="48" spans="1:16" x14ac:dyDescent="0.2">
      <c r="E48" t="s">
        <v>114</v>
      </c>
    </row>
    <row r="51" spans="4:5" ht="48" x14ac:dyDescent="0.2">
      <c r="D51" s="25" t="s">
        <v>116</v>
      </c>
      <c r="E51" s="26" t="s">
        <v>117</v>
      </c>
    </row>
  </sheetData>
  <mergeCells count="2">
    <mergeCell ref="B3:I3"/>
    <mergeCell ref="A19:E19"/>
  </mergeCells>
  <phoneticPr fontId="23" type="noConversion"/>
  <pageMargins left="0.7" right="0.7" top="0.75" bottom="0.75" header="0.3" footer="0.3"/>
  <pageSetup fitToWidth="2" fitToHeight="0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2AC2-E3B0-47D0-9A09-CD24DB8EB6CE}">
  <sheetPr>
    <pageSetUpPr fitToPage="1"/>
  </sheetPr>
  <dimension ref="B1:K26"/>
  <sheetViews>
    <sheetView zoomScale="110" zoomScaleNormal="110" zoomScaleSheetLayoutView="120" workbookViewId="0">
      <selection activeCell="B29" sqref="B29:K36"/>
    </sheetView>
  </sheetViews>
  <sheetFormatPr baseColWidth="10" defaultRowHeight="15" x14ac:dyDescent="0.2"/>
  <cols>
    <col min="2" max="2" width="22" customWidth="1"/>
    <col min="3" max="3" width="11" customWidth="1"/>
    <col min="4" max="4" width="12.6640625" customWidth="1"/>
    <col min="5" max="5" width="14.33203125" customWidth="1"/>
  </cols>
  <sheetData>
    <row r="1" spans="2:11" ht="29" x14ac:dyDescent="0.35">
      <c r="B1" s="114" t="s">
        <v>166</v>
      </c>
      <c r="C1" s="115"/>
      <c r="D1" s="115"/>
      <c r="E1" s="115"/>
      <c r="F1" s="115"/>
      <c r="G1" s="115"/>
      <c r="H1" s="115"/>
      <c r="I1" s="115"/>
      <c r="J1" s="115"/>
      <c r="K1" s="115"/>
    </row>
    <row r="3" spans="2:11" ht="16" x14ac:dyDescent="0.2">
      <c r="B3" s="118" t="s">
        <v>149</v>
      </c>
      <c r="C3" s="118" t="s">
        <v>150</v>
      </c>
      <c r="D3" s="116" t="s">
        <v>123</v>
      </c>
      <c r="E3" s="117"/>
      <c r="F3" s="117"/>
      <c r="G3" s="117"/>
      <c r="H3" s="117"/>
      <c r="I3" s="117"/>
      <c r="J3" s="117"/>
      <c r="K3" s="117"/>
    </row>
    <row r="4" spans="2:11" ht="16" x14ac:dyDescent="0.2">
      <c r="B4" s="118"/>
      <c r="C4" s="118"/>
      <c r="D4" s="52" t="s">
        <v>138</v>
      </c>
      <c r="E4" s="52" t="s">
        <v>139</v>
      </c>
      <c r="F4" s="52" t="s">
        <v>140</v>
      </c>
      <c r="G4" s="52" t="s">
        <v>141</v>
      </c>
      <c r="H4" s="52" t="s">
        <v>142</v>
      </c>
      <c r="I4" s="52" t="s">
        <v>143</v>
      </c>
      <c r="J4" s="52" t="s">
        <v>144</v>
      </c>
      <c r="K4" s="52" t="s">
        <v>145</v>
      </c>
    </row>
    <row r="5" spans="2:11" ht="16" x14ac:dyDescent="0.2">
      <c r="B5" s="53" t="s">
        <v>90</v>
      </c>
      <c r="C5" s="54" t="s">
        <v>96</v>
      </c>
      <c r="D5" s="55"/>
      <c r="E5" s="55"/>
      <c r="F5" s="56" t="s">
        <v>51</v>
      </c>
      <c r="G5" s="56" t="s">
        <v>60</v>
      </c>
      <c r="H5" s="57"/>
      <c r="I5" s="58" t="s">
        <v>45</v>
      </c>
      <c r="J5" s="59"/>
      <c r="K5" s="56" t="s">
        <v>62</v>
      </c>
    </row>
    <row r="6" spans="2:11" ht="16" x14ac:dyDescent="0.2">
      <c r="B6" s="60" t="s">
        <v>8</v>
      </c>
      <c r="C6" s="61" t="s">
        <v>9</v>
      </c>
      <c r="D6" s="62" t="s">
        <v>43</v>
      </c>
      <c r="E6" s="62" t="s">
        <v>74</v>
      </c>
      <c r="F6" s="56" t="s">
        <v>51</v>
      </c>
      <c r="G6" s="56" t="s">
        <v>60</v>
      </c>
      <c r="H6" s="58" t="s">
        <v>36</v>
      </c>
      <c r="I6" s="58" t="s">
        <v>115</v>
      </c>
      <c r="J6" s="59"/>
      <c r="K6" s="56" t="s">
        <v>62</v>
      </c>
    </row>
    <row r="7" spans="2:11" ht="16" x14ac:dyDescent="0.2">
      <c r="B7" s="63" t="s">
        <v>106</v>
      </c>
      <c r="C7" s="61" t="s">
        <v>16</v>
      </c>
      <c r="D7" s="62" t="s">
        <v>43</v>
      </c>
      <c r="E7" s="62" t="s">
        <v>74</v>
      </c>
      <c r="F7" s="56" t="s">
        <v>51</v>
      </c>
      <c r="G7" s="56" t="s">
        <v>60</v>
      </c>
      <c r="H7" s="58" t="s">
        <v>36</v>
      </c>
      <c r="I7" s="58" t="s">
        <v>45</v>
      </c>
      <c r="J7" s="59"/>
      <c r="K7" s="56"/>
    </row>
    <row r="8" spans="2:11" ht="16" x14ac:dyDescent="0.2">
      <c r="B8" s="64" t="s">
        <v>21</v>
      </c>
      <c r="C8" s="65" t="s">
        <v>22</v>
      </c>
      <c r="D8" s="62" t="s">
        <v>43</v>
      </c>
      <c r="E8" s="62" t="s">
        <v>74</v>
      </c>
      <c r="F8" s="56" t="s">
        <v>51</v>
      </c>
      <c r="G8" s="56" t="s">
        <v>60</v>
      </c>
      <c r="H8" s="58" t="s">
        <v>36</v>
      </c>
      <c r="I8" s="58"/>
      <c r="J8" s="58" t="s">
        <v>34</v>
      </c>
      <c r="K8" s="56"/>
    </row>
    <row r="9" spans="2:11" ht="16" x14ac:dyDescent="0.2">
      <c r="B9" s="66" t="s">
        <v>91</v>
      </c>
      <c r="C9" s="61" t="s">
        <v>94</v>
      </c>
      <c r="D9" s="62" t="s">
        <v>43</v>
      </c>
      <c r="E9" s="62" t="s">
        <v>74</v>
      </c>
      <c r="F9" s="56" t="s">
        <v>51</v>
      </c>
      <c r="G9" s="56" t="s">
        <v>60</v>
      </c>
      <c r="H9" s="58" t="s">
        <v>118</v>
      </c>
      <c r="I9" s="58" t="s">
        <v>45</v>
      </c>
      <c r="J9" s="59"/>
      <c r="K9" s="56" t="s">
        <v>62</v>
      </c>
    </row>
    <row r="10" spans="2:11" ht="16" x14ac:dyDescent="0.2">
      <c r="B10" s="67" t="s">
        <v>92</v>
      </c>
      <c r="C10" s="65" t="s">
        <v>95</v>
      </c>
      <c r="D10" s="62" t="s">
        <v>43</v>
      </c>
      <c r="E10" s="62" t="s">
        <v>74</v>
      </c>
      <c r="F10" s="56" t="s">
        <v>51</v>
      </c>
      <c r="G10" s="56" t="s">
        <v>60</v>
      </c>
      <c r="H10" s="58" t="s">
        <v>118</v>
      </c>
      <c r="I10" s="58" t="s">
        <v>45</v>
      </c>
      <c r="J10" s="59"/>
      <c r="K10" s="56" t="s">
        <v>62</v>
      </c>
    </row>
    <row r="11" spans="2:11" ht="16" x14ac:dyDescent="0.2"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2:11" ht="16" x14ac:dyDescent="0.2">
      <c r="B12" s="49"/>
      <c r="C12" s="49"/>
      <c r="D12" s="49"/>
      <c r="E12" s="49"/>
      <c r="F12" s="49"/>
      <c r="G12" s="49"/>
      <c r="H12" s="49"/>
      <c r="I12" s="49"/>
      <c r="J12" s="49"/>
      <c r="K12" s="49"/>
    </row>
    <row r="13" spans="2:11" ht="16" x14ac:dyDescent="0.2">
      <c r="B13" s="49"/>
      <c r="C13" s="49"/>
      <c r="D13" s="112" t="s">
        <v>155</v>
      </c>
      <c r="E13" s="113"/>
      <c r="F13" s="49"/>
      <c r="G13" s="112" t="s">
        <v>156</v>
      </c>
      <c r="H13" s="113"/>
      <c r="I13" s="49"/>
      <c r="J13" s="112" t="s">
        <v>160</v>
      </c>
      <c r="K13" s="113"/>
    </row>
    <row r="14" spans="2:11" ht="16" x14ac:dyDescent="0.2">
      <c r="B14" s="49"/>
      <c r="C14" s="49"/>
      <c r="D14" s="68" t="s">
        <v>146</v>
      </c>
      <c r="E14" s="51">
        <v>1</v>
      </c>
      <c r="F14" s="49"/>
      <c r="G14" s="68" t="s">
        <v>151</v>
      </c>
      <c r="H14" s="51" t="s">
        <v>153</v>
      </c>
      <c r="I14" s="49"/>
      <c r="J14" s="68" t="s">
        <v>157</v>
      </c>
      <c r="K14" s="51">
        <v>1</v>
      </c>
    </row>
    <row r="15" spans="2:11" ht="16" x14ac:dyDescent="0.2">
      <c r="B15" s="49"/>
      <c r="C15" s="49"/>
      <c r="D15" s="68" t="s">
        <v>147</v>
      </c>
      <c r="E15" s="51">
        <v>2</v>
      </c>
      <c r="F15" s="49"/>
      <c r="G15" s="68" t="s">
        <v>152</v>
      </c>
      <c r="H15" s="51" t="s">
        <v>154</v>
      </c>
      <c r="I15" s="49"/>
      <c r="J15" s="68" t="s">
        <v>158</v>
      </c>
      <c r="K15" s="51">
        <v>2</v>
      </c>
    </row>
    <row r="16" spans="2:11" ht="16" x14ac:dyDescent="0.2">
      <c r="B16" s="49"/>
      <c r="C16" s="49"/>
      <c r="D16" s="68" t="s">
        <v>148</v>
      </c>
      <c r="E16" s="51">
        <v>3</v>
      </c>
      <c r="F16" s="49"/>
      <c r="G16" s="69"/>
      <c r="H16" s="49"/>
      <c r="I16" s="49"/>
      <c r="J16" s="70" t="s">
        <v>159</v>
      </c>
      <c r="K16" s="51">
        <v>3</v>
      </c>
    </row>
    <row r="17" spans="2:11" ht="16" x14ac:dyDescent="0.2">
      <c r="B17" s="49"/>
      <c r="C17" s="49"/>
      <c r="D17" s="49"/>
      <c r="E17" s="49"/>
      <c r="F17" s="69"/>
      <c r="G17" s="71"/>
      <c r="H17" s="49"/>
      <c r="I17" s="69"/>
      <c r="J17" s="71"/>
      <c r="K17" s="49"/>
    </row>
    <row r="18" spans="2:11" ht="16" x14ac:dyDescent="0.2">
      <c r="B18" s="50"/>
      <c r="C18" s="49"/>
      <c r="D18" s="49"/>
      <c r="E18" s="49"/>
      <c r="F18" s="69"/>
      <c r="G18" s="71"/>
      <c r="H18" s="49"/>
      <c r="I18" s="69"/>
      <c r="J18" s="71"/>
      <c r="K18" s="49"/>
    </row>
    <row r="19" spans="2:11" ht="16" x14ac:dyDescent="0.2">
      <c r="C19" s="49"/>
      <c r="D19" s="49"/>
      <c r="E19" s="49"/>
      <c r="F19" s="72"/>
      <c r="G19" s="71"/>
      <c r="H19" s="49"/>
      <c r="I19" s="69"/>
      <c r="J19" s="71"/>
      <c r="K19" s="49"/>
    </row>
    <row r="20" spans="2:11" ht="16" x14ac:dyDescent="0.2">
      <c r="B20" s="49" t="s">
        <v>165</v>
      </c>
      <c r="G20" s="17"/>
      <c r="J20" s="17"/>
    </row>
    <row r="21" spans="2:11" ht="16" x14ac:dyDescent="0.2">
      <c r="B21" s="49" t="s">
        <v>167</v>
      </c>
      <c r="F21" s="3"/>
      <c r="G21" s="71"/>
      <c r="I21" s="3"/>
      <c r="J21" s="17"/>
    </row>
    <row r="22" spans="2:11" ht="16" x14ac:dyDescent="0.2">
      <c r="B22" s="49" t="s">
        <v>161</v>
      </c>
      <c r="C22" s="49"/>
      <c r="D22" s="49"/>
      <c r="E22" s="49"/>
      <c r="F22" s="72"/>
      <c r="G22" s="49"/>
    </row>
    <row r="23" spans="2:11" ht="16" x14ac:dyDescent="0.2">
      <c r="B23" s="49" t="s">
        <v>164</v>
      </c>
      <c r="C23" s="49"/>
      <c r="D23" s="49"/>
      <c r="E23" s="49"/>
      <c r="G23" s="49"/>
    </row>
    <row r="24" spans="2:11" ht="16" x14ac:dyDescent="0.2">
      <c r="B24" s="49" t="s">
        <v>168</v>
      </c>
      <c r="C24" s="49"/>
      <c r="D24" s="73"/>
      <c r="E24" s="49"/>
      <c r="G24" s="49" t="s">
        <v>169</v>
      </c>
    </row>
    <row r="25" spans="2:11" ht="16" x14ac:dyDescent="0.2">
      <c r="B25" s="49" t="s">
        <v>163</v>
      </c>
      <c r="C25" s="49"/>
      <c r="D25" s="49"/>
      <c r="E25" s="49"/>
      <c r="G25" s="49" t="s">
        <v>162</v>
      </c>
    </row>
    <row r="26" spans="2:11" ht="16" x14ac:dyDescent="0.2">
      <c r="B26" s="49"/>
    </row>
  </sheetData>
  <mergeCells count="7">
    <mergeCell ref="D13:E13"/>
    <mergeCell ref="G13:H13"/>
    <mergeCell ref="B1:K1"/>
    <mergeCell ref="D3:K3"/>
    <mergeCell ref="B3:B4"/>
    <mergeCell ref="C3:C4"/>
    <mergeCell ref="J13:K13"/>
  </mergeCells>
  <pageMargins left="0.7" right="0.7" top="0.75" bottom="0.75" header="0.3" footer="0.3"/>
  <pageSetup scale="80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7E8C-4B27-46BD-9D16-8E28D5B2082C}">
  <dimension ref="B4:J11"/>
  <sheetViews>
    <sheetView workbookViewId="0">
      <selection activeCell="E12" sqref="E12"/>
    </sheetView>
  </sheetViews>
  <sheetFormatPr baseColWidth="10" defaultRowHeight="15" x14ac:dyDescent="0.2"/>
  <sheetData>
    <row r="4" spans="2:10" ht="16" x14ac:dyDescent="0.2">
      <c r="B4" s="119" t="s">
        <v>947</v>
      </c>
      <c r="C4" s="121" t="s">
        <v>123</v>
      </c>
      <c r="D4" s="122"/>
      <c r="E4" s="122"/>
      <c r="F4" s="122"/>
      <c r="G4" s="122"/>
      <c r="H4" s="122"/>
      <c r="I4" s="122"/>
      <c r="J4" s="123"/>
    </row>
    <row r="5" spans="2:10" ht="16" x14ac:dyDescent="0.2">
      <c r="B5" s="120"/>
      <c r="C5" s="124" t="s">
        <v>948</v>
      </c>
      <c r="D5" s="125"/>
      <c r="E5" s="124" t="s">
        <v>949</v>
      </c>
      <c r="F5" s="126"/>
      <c r="G5" s="125"/>
      <c r="H5" s="124" t="s">
        <v>950</v>
      </c>
      <c r="I5" s="126"/>
      <c r="J5" s="125"/>
    </row>
    <row r="6" spans="2:10" ht="16" x14ac:dyDescent="0.2">
      <c r="B6" s="61" t="s">
        <v>548</v>
      </c>
      <c r="C6" s="62" t="s">
        <v>43</v>
      </c>
      <c r="D6" s="62" t="s">
        <v>74</v>
      </c>
      <c r="E6" s="56" t="s">
        <v>51</v>
      </c>
      <c r="F6" s="56" t="s">
        <v>60</v>
      </c>
      <c r="G6" s="56"/>
      <c r="H6" s="58" t="s">
        <v>36</v>
      </c>
      <c r="I6" s="58" t="s">
        <v>45</v>
      </c>
      <c r="J6" s="59"/>
    </row>
    <row r="7" spans="2:10" ht="16" x14ac:dyDescent="0.2">
      <c r="B7" s="61" t="s">
        <v>545</v>
      </c>
      <c r="C7" s="62" t="s">
        <v>43</v>
      </c>
      <c r="D7" s="62" t="s">
        <v>74</v>
      </c>
      <c r="E7" s="56" t="s">
        <v>51</v>
      </c>
      <c r="F7" s="56" t="s">
        <v>60</v>
      </c>
      <c r="G7" s="56" t="s">
        <v>62</v>
      </c>
      <c r="H7" s="58" t="s">
        <v>36</v>
      </c>
      <c r="I7" s="58" t="s">
        <v>115</v>
      </c>
      <c r="J7" s="59"/>
    </row>
    <row r="8" spans="2:10" ht="16" x14ac:dyDescent="0.2">
      <c r="B8" s="54" t="s">
        <v>546</v>
      </c>
      <c r="C8" s="55"/>
      <c r="D8" s="55"/>
      <c r="E8" s="56" t="s">
        <v>51</v>
      </c>
      <c r="F8" s="56" t="s">
        <v>60</v>
      </c>
      <c r="G8" s="56" t="s">
        <v>62</v>
      </c>
      <c r="H8" s="57"/>
      <c r="I8" s="58" t="s">
        <v>45</v>
      </c>
      <c r="J8" s="59"/>
    </row>
    <row r="9" spans="2:10" ht="16" x14ac:dyDescent="0.2">
      <c r="B9" s="65" t="s">
        <v>547</v>
      </c>
      <c r="C9" s="62" t="s">
        <v>43</v>
      </c>
      <c r="D9" s="62" t="s">
        <v>74</v>
      </c>
      <c r="E9" s="56" t="s">
        <v>51</v>
      </c>
      <c r="F9" s="56" t="s">
        <v>60</v>
      </c>
      <c r="G9" s="56"/>
      <c r="H9" s="58" t="s">
        <v>36</v>
      </c>
      <c r="I9" s="58"/>
      <c r="J9" s="58" t="s">
        <v>34</v>
      </c>
    </row>
    <row r="10" spans="2:10" ht="16" x14ac:dyDescent="0.2">
      <c r="B10" s="61" t="s">
        <v>543</v>
      </c>
      <c r="C10" s="62" t="s">
        <v>43</v>
      </c>
      <c r="D10" s="62"/>
      <c r="E10" s="56" t="s">
        <v>51</v>
      </c>
      <c r="F10" s="56" t="s">
        <v>60</v>
      </c>
      <c r="G10" s="56"/>
      <c r="H10" s="58" t="s">
        <v>118</v>
      </c>
      <c r="I10" s="58" t="s">
        <v>45</v>
      </c>
      <c r="J10" s="59"/>
    </row>
    <row r="11" spans="2:10" ht="16" x14ac:dyDescent="0.2">
      <c r="B11" s="65" t="s">
        <v>544</v>
      </c>
      <c r="C11" s="62" t="s">
        <v>43</v>
      </c>
      <c r="D11" s="62"/>
      <c r="E11" s="56" t="s">
        <v>51</v>
      </c>
      <c r="F11" s="56" t="s">
        <v>60</v>
      </c>
      <c r="G11" s="56"/>
      <c r="H11" s="58" t="s">
        <v>118</v>
      </c>
      <c r="I11" s="58" t="s">
        <v>45</v>
      </c>
      <c r="J11" s="59"/>
    </row>
  </sheetData>
  <mergeCells count="5">
    <mergeCell ref="B4:B5"/>
    <mergeCell ref="C4:J4"/>
    <mergeCell ref="C5:D5"/>
    <mergeCell ref="E5:G5"/>
    <mergeCell ref="H5:J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3965-AF88-4F96-90D4-F05234A55B6F}">
  <dimension ref="B2:L365"/>
  <sheetViews>
    <sheetView topLeftCell="A342" zoomScaleNormal="100" workbookViewId="0">
      <selection activeCell="N25" sqref="N25"/>
    </sheetView>
  </sheetViews>
  <sheetFormatPr baseColWidth="10" defaultRowHeight="15" x14ac:dyDescent="0.2"/>
  <cols>
    <col min="2" max="2" width="15.5" customWidth="1"/>
  </cols>
  <sheetData>
    <row r="2" spans="2:12" x14ac:dyDescent="0.2"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919</v>
      </c>
    </row>
    <row r="3" spans="2:12" x14ac:dyDescent="0.2">
      <c r="B3" t="s">
        <v>556</v>
      </c>
      <c r="C3" s="74" t="s">
        <v>180</v>
      </c>
      <c r="D3" s="88">
        <v>45061</v>
      </c>
      <c r="E3" t="s">
        <v>553</v>
      </c>
      <c r="F3" t="s">
        <v>551</v>
      </c>
      <c r="G3" s="80" t="s">
        <v>16</v>
      </c>
      <c r="H3" t="s">
        <v>548</v>
      </c>
      <c r="I3" t="s">
        <v>43</v>
      </c>
      <c r="J3" t="s">
        <v>151</v>
      </c>
      <c r="K3">
        <v>1</v>
      </c>
    </row>
    <row r="4" spans="2:12" x14ac:dyDescent="0.2">
      <c r="B4" t="s">
        <v>557</v>
      </c>
      <c r="C4" s="74" t="s">
        <v>181</v>
      </c>
      <c r="D4" s="88">
        <v>45061</v>
      </c>
      <c r="E4" t="s">
        <v>553</v>
      </c>
      <c r="F4" t="s">
        <v>551</v>
      </c>
      <c r="G4" s="80" t="s">
        <v>16</v>
      </c>
      <c r="H4" t="s">
        <v>548</v>
      </c>
      <c r="I4" t="s">
        <v>43</v>
      </c>
      <c r="J4" t="s">
        <v>152</v>
      </c>
      <c r="K4">
        <v>1</v>
      </c>
    </row>
    <row r="5" spans="2:12" x14ac:dyDescent="0.2">
      <c r="B5" t="s">
        <v>560</v>
      </c>
      <c r="C5" s="74" t="s">
        <v>182</v>
      </c>
      <c r="D5" s="88">
        <v>45061</v>
      </c>
      <c r="E5" t="s">
        <v>553</v>
      </c>
      <c r="F5" t="s">
        <v>551</v>
      </c>
      <c r="G5" s="80" t="s">
        <v>16</v>
      </c>
      <c r="H5" t="s">
        <v>548</v>
      </c>
      <c r="I5" t="s">
        <v>43</v>
      </c>
      <c r="J5" t="s">
        <v>151</v>
      </c>
      <c r="K5">
        <v>2</v>
      </c>
    </row>
    <row r="6" spans="2:12" x14ac:dyDescent="0.2">
      <c r="B6" t="s">
        <v>561</v>
      </c>
      <c r="C6" s="74" t="s">
        <v>183</v>
      </c>
      <c r="D6" s="88">
        <v>45061</v>
      </c>
      <c r="E6" t="s">
        <v>553</v>
      </c>
      <c r="F6" t="s">
        <v>551</v>
      </c>
      <c r="G6" s="80" t="s">
        <v>16</v>
      </c>
      <c r="H6" t="s">
        <v>548</v>
      </c>
      <c r="I6" t="s">
        <v>43</v>
      </c>
      <c r="J6" t="s">
        <v>152</v>
      </c>
      <c r="K6">
        <v>2</v>
      </c>
    </row>
    <row r="7" spans="2:12" x14ac:dyDescent="0.2">
      <c r="B7" t="s">
        <v>562</v>
      </c>
      <c r="C7" s="74" t="s">
        <v>184</v>
      </c>
      <c r="D7" s="88">
        <v>45061</v>
      </c>
      <c r="E7" t="s">
        <v>553</v>
      </c>
      <c r="F7" t="s">
        <v>551</v>
      </c>
      <c r="G7" s="80" t="s">
        <v>16</v>
      </c>
      <c r="H7" t="s">
        <v>548</v>
      </c>
      <c r="I7" t="s">
        <v>43</v>
      </c>
      <c r="J7" t="s">
        <v>151</v>
      </c>
      <c r="K7">
        <v>3</v>
      </c>
    </row>
    <row r="8" spans="2:12" x14ac:dyDescent="0.2">
      <c r="B8" t="s">
        <v>563</v>
      </c>
      <c r="C8" s="74" t="s">
        <v>185</v>
      </c>
      <c r="D8" s="88">
        <v>45061</v>
      </c>
      <c r="E8" t="s">
        <v>553</v>
      </c>
      <c r="F8" t="s">
        <v>551</v>
      </c>
      <c r="G8" s="80" t="s">
        <v>16</v>
      </c>
      <c r="H8" t="s">
        <v>548</v>
      </c>
      <c r="I8" t="s">
        <v>43</v>
      </c>
      <c r="J8" t="s">
        <v>152</v>
      </c>
      <c r="K8">
        <v>3</v>
      </c>
    </row>
    <row r="9" spans="2:12" x14ac:dyDescent="0.2">
      <c r="B9" t="s">
        <v>564</v>
      </c>
      <c r="C9" s="74" t="s">
        <v>186</v>
      </c>
      <c r="D9" s="88">
        <v>45061</v>
      </c>
      <c r="E9" t="s">
        <v>553</v>
      </c>
      <c r="F9" t="s">
        <v>551</v>
      </c>
      <c r="G9" s="80" t="s">
        <v>16</v>
      </c>
      <c r="H9" t="s">
        <v>548</v>
      </c>
      <c r="I9" t="s">
        <v>74</v>
      </c>
      <c r="J9" t="s">
        <v>151</v>
      </c>
      <c r="K9">
        <v>1</v>
      </c>
    </row>
    <row r="10" spans="2:12" x14ac:dyDescent="0.2">
      <c r="B10" t="s">
        <v>565</v>
      </c>
      <c r="C10" s="74" t="s">
        <v>187</v>
      </c>
      <c r="D10" s="88">
        <v>45061</v>
      </c>
      <c r="E10" t="s">
        <v>553</v>
      </c>
      <c r="F10" t="s">
        <v>551</v>
      </c>
      <c r="G10" s="80" t="s">
        <v>16</v>
      </c>
      <c r="H10" t="s">
        <v>548</v>
      </c>
      <c r="I10" t="s">
        <v>74</v>
      </c>
      <c r="J10" t="s">
        <v>152</v>
      </c>
      <c r="K10">
        <v>1</v>
      </c>
    </row>
    <row r="11" spans="2:12" x14ac:dyDescent="0.2">
      <c r="B11" t="s">
        <v>572</v>
      </c>
      <c r="C11" s="74" t="s">
        <v>188</v>
      </c>
      <c r="D11" s="88">
        <v>45061</v>
      </c>
      <c r="E11" t="s">
        <v>553</v>
      </c>
      <c r="F11" t="s">
        <v>551</v>
      </c>
      <c r="G11" s="80" t="s">
        <v>16</v>
      </c>
      <c r="H11" t="s">
        <v>548</v>
      </c>
      <c r="I11" t="s">
        <v>74</v>
      </c>
      <c r="J11" t="s">
        <v>151</v>
      </c>
      <c r="K11">
        <v>2</v>
      </c>
    </row>
    <row r="12" spans="2:12" x14ac:dyDescent="0.2">
      <c r="B12" t="s">
        <v>573</v>
      </c>
      <c r="C12" s="74" t="s">
        <v>189</v>
      </c>
      <c r="D12" s="88">
        <v>45061</v>
      </c>
      <c r="E12" t="s">
        <v>553</v>
      </c>
      <c r="F12" t="s">
        <v>551</v>
      </c>
      <c r="G12" s="80" t="s">
        <v>16</v>
      </c>
      <c r="H12" t="s">
        <v>548</v>
      </c>
      <c r="I12" t="s">
        <v>74</v>
      </c>
      <c r="J12" t="s">
        <v>152</v>
      </c>
      <c r="K12">
        <v>2</v>
      </c>
    </row>
    <row r="13" spans="2:12" x14ac:dyDescent="0.2">
      <c r="B13" t="s">
        <v>574</v>
      </c>
      <c r="C13" s="74" t="s">
        <v>190</v>
      </c>
      <c r="D13" s="88">
        <v>45061</v>
      </c>
      <c r="E13" t="s">
        <v>553</v>
      </c>
      <c r="F13" t="s">
        <v>551</v>
      </c>
      <c r="G13" s="80" t="s">
        <v>16</v>
      </c>
      <c r="H13" t="s">
        <v>548</v>
      </c>
      <c r="I13" t="s">
        <v>74</v>
      </c>
      <c r="J13" t="s">
        <v>151</v>
      </c>
      <c r="K13">
        <v>3</v>
      </c>
    </row>
    <row r="14" spans="2:12" x14ac:dyDescent="0.2">
      <c r="B14" t="s">
        <v>575</v>
      </c>
      <c r="C14" s="74" t="s">
        <v>191</v>
      </c>
      <c r="D14" s="88">
        <v>45061</v>
      </c>
      <c r="E14" t="s">
        <v>553</v>
      </c>
      <c r="F14" t="s">
        <v>551</v>
      </c>
      <c r="G14" s="80" t="s">
        <v>16</v>
      </c>
      <c r="H14" t="s">
        <v>548</v>
      </c>
      <c r="I14" t="s">
        <v>74</v>
      </c>
      <c r="J14" t="s">
        <v>152</v>
      </c>
      <c r="K14">
        <v>3</v>
      </c>
    </row>
    <row r="15" spans="2:12" x14ac:dyDescent="0.2">
      <c r="B15" t="s">
        <v>568</v>
      </c>
      <c r="C15" s="74" t="s">
        <v>192</v>
      </c>
      <c r="D15" s="88">
        <v>45061</v>
      </c>
      <c r="E15" t="s">
        <v>553</v>
      </c>
      <c r="F15" t="s">
        <v>551</v>
      </c>
      <c r="G15" s="80" t="s">
        <v>16</v>
      </c>
      <c r="H15" t="s">
        <v>548</v>
      </c>
      <c r="I15" t="s">
        <v>51</v>
      </c>
      <c r="J15" t="s">
        <v>151</v>
      </c>
      <c r="K15">
        <v>1</v>
      </c>
    </row>
    <row r="16" spans="2:12" x14ac:dyDescent="0.2">
      <c r="B16" t="s">
        <v>569</v>
      </c>
      <c r="C16" s="74" t="s">
        <v>193</v>
      </c>
      <c r="D16" s="88">
        <v>45061</v>
      </c>
      <c r="E16" t="s">
        <v>553</v>
      </c>
      <c r="F16" t="s">
        <v>551</v>
      </c>
      <c r="G16" s="80" t="s">
        <v>16</v>
      </c>
      <c r="H16" t="s">
        <v>548</v>
      </c>
      <c r="I16" t="s">
        <v>51</v>
      </c>
      <c r="J16" t="s">
        <v>152</v>
      </c>
      <c r="K16">
        <v>1</v>
      </c>
    </row>
    <row r="17" spans="2:11" x14ac:dyDescent="0.2">
      <c r="B17" t="s">
        <v>576</v>
      </c>
      <c r="C17" s="74" t="s">
        <v>194</v>
      </c>
      <c r="D17" s="88">
        <v>45061</v>
      </c>
      <c r="E17" t="s">
        <v>553</v>
      </c>
      <c r="F17" t="s">
        <v>551</v>
      </c>
      <c r="G17" s="80" t="s">
        <v>16</v>
      </c>
      <c r="H17" t="s">
        <v>548</v>
      </c>
      <c r="I17" t="s">
        <v>51</v>
      </c>
      <c r="J17" t="s">
        <v>151</v>
      </c>
      <c r="K17">
        <v>2</v>
      </c>
    </row>
    <row r="18" spans="2:11" x14ac:dyDescent="0.2">
      <c r="B18" t="s">
        <v>577</v>
      </c>
      <c r="C18" s="74" t="s">
        <v>195</v>
      </c>
      <c r="D18" s="88">
        <v>45061</v>
      </c>
      <c r="E18" t="s">
        <v>553</v>
      </c>
      <c r="F18" t="s">
        <v>551</v>
      </c>
      <c r="G18" s="80" t="s">
        <v>16</v>
      </c>
      <c r="H18" t="s">
        <v>548</v>
      </c>
      <c r="I18" t="s">
        <v>51</v>
      </c>
      <c r="J18" t="s">
        <v>152</v>
      </c>
      <c r="K18">
        <v>2</v>
      </c>
    </row>
    <row r="19" spans="2:11" x14ac:dyDescent="0.2">
      <c r="B19" t="s">
        <v>578</v>
      </c>
      <c r="C19" s="74" t="s">
        <v>196</v>
      </c>
      <c r="D19" s="88">
        <v>45061</v>
      </c>
      <c r="E19" t="s">
        <v>553</v>
      </c>
      <c r="F19" t="s">
        <v>551</v>
      </c>
      <c r="G19" s="80" t="s">
        <v>16</v>
      </c>
      <c r="H19" t="s">
        <v>548</v>
      </c>
      <c r="I19" t="s">
        <v>51</v>
      </c>
      <c r="J19" t="s">
        <v>151</v>
      </c>
      <c r="K19">
        <v>3</v>
      </c>
    </row>
    <row r="20" spans="2:11" x14ac:dyDescent="0.2">
      <c r="B20" t="s">
        <v>579</v>
      </c>
      <c r="C20" s="74" t="s">
        <v>197</v>
      </c>
      <c r="D20" s="88">
        <v>45061</v>
      </c>
      <c r="E20" t="s">
        <v>553</v>
      </c>
      <c r="F20" t="s">
        <v>551</v>
      </c>
      <c r="G20" s="80" t="s">
        <v>16</v>
      </c>
      <c r="H20" t="s">
        <v>548</v>
      </c>
      <c r="I20" t="s">
        <v>51</v>
      </c>
      <c r="J20" t="s">
        <v>152</v>
      </c>
      <c r="K20">
        <v>3</v>
      </c>
    </row>
    <row r="21" spans="2:11" x14ac:dyDescent="0.2">
      <c r="B21" t="s">
        <v>580</v>
      </c>
      <c r="C21" s="74" t="s">
        <v>198</v>
      </c>
      <c r="D21" s="88">
        <v>45061</v>
      </c>
      <c r="E21" t="s">
        <v>553</v>
      </c>
      <c r="F21" t="s">
        <v>551</v>
      </c>
      <c r="G21" s="80" t="s">
        <v>16</v>
      </c>
      <c r="H21" t="s">
        <v>548</v>
      </c>
      <c r="I21" t="s">
        <v>60</v>
      </c>
      <c r="J21" t="s">
        <v>151</v>
      </c>
      <c r="K21">
        <v>1</v>
      </c>
    </row>
    <row r="22" spans="2:11" x14ac:dyDescent="0.2">
      <c r="B22" t="s">
        <v>581</v>
      </c>
      <c r="C22" s="74" t="s">
        <v>199</v>
      </c>
      <c r="D22" s="88">
        <v>45061</v>
      </c>
      <c r="E22" t="s">
        <v>553</v>
      </c>
      <c r="F22" t="s">
        <v>551</v>
      </c>
      <c r="G22" s="80" t="s">
        <v>16</v>
      </c>
      <c r="H22" t="s">
        <v>548</v>
      </c>
      <c r="I22" t="s">
        <v>60</v>
      </c>
      <c r="J22" t="s">
        <v>152</v>
      </c>
      <c r="K22">
        <v>1</v>
      </c>
    </row>
    <row r="23" spans="2:11" x14ac:dyDescent="0.2">
      <c r="B23" t="s">
        <v>592</v>
      </c>
      <c r="C23" s="74" t="s">
        <v>200</v>
      </c>
      <c r="D23" s="88">
        <v>45061</v>
      </c>
      <c r="E23" t="s">
        <v>553</v>
      </c>
      <c r="F23" t="s">
        <v>551</v>
      </c>
      <c r="G23" s="80" t="s">
        <v>16</v>
      </c>
      <c r="H23" t="s">
        <v>548</v>
      </c>
      <c r="I23" t="s">
        <v>60</v>
      </c>
      <c r="J23" t="s">
        <v>151</v>
      </c>
      <c r="K23">
        <v>2</v>
      </c>
    </row>
    <row r="24" spans="2:11" x14ac:dyDescent="0.2">
      <c r="B24" t="s">
        <v>593</v>
      </c>
      <c r="C24" s="74" t="s">
        <v>201</v>
      </c>
      <c r="D24" s="88">
        <v>45061</v>
      </c>
      <c r="E24" t="s">
        <v>553</v>
      </c>
      <c r="F24" t="s">
        <v>551</v>
      </c>
      <c r="G24" s="80" t="s">
        <v>16</v>
      </c>
      <c r="H24" t="s">
        <v>548</v>
      </c>
      <c r="I24" t="s">
        <v>60</v>
      </c>
      <c r="J24" t="s">
        <v>152</v>
      </c>
      <c r="K24">
        <v>2</v>
      </c>
    </row>
    <row r="25" spans="2:11" x14ac:dyDescent="0.2">
      <c r="B25" t="s">
        <v>594</v>
      </c>
      <c r="C25" s="74" t="s">
        <v>202</v>
      </c>
      <c r="D25" s="88">
        <v>45061</v>
      </c>
      <c r="E25" t="s">
        <v>553</v>
      </c>
      <c r="F25" t="s">
        <v>551</v>
      </c>
      <c r="G25" s="80" t="s">
        <v>16</v>
      </c>
      <c r="H25" t="s">
        <v>548</v>
      </c>
      <c r="I25" t="s">
        <v>60</v>
      </c>
      <c r="J25" t="s">
        <v>151</v>
      </c>
      <c r="K25">
        <v>3</v>
      </c>
    </row>
    <row r="26" spans="2:11" x14ac:dyDescent="0.2">
      <c r="B26" t="s">
        <v>595</v>
      </c>
      <c r="C26" s="74" t="s">
        <v>203</v>
      </c>
      <c r="D26" s="88">
        <v>45061</v>
      </c>
      <c r="E26" t="s">
        <v>553</v>
      </c>
      <c r="F26" t="s">
        <v>551</v>
      </c>
      <c r="G26" s="80" t="s">
        <v>16</v>
      </c>
      <c r="H26" t="s">
        <v>548</v>
      </c>
      <c r="I26" t="s">
        <v>60</v>
      </c>
      <c r="J26" t="s">
        <v>152</v>
      </c>
      <c r="K26">
        <v>3</v>
      </c>
    </row>
    <row r="27" spans="2:11" x14ac:dyDescent="0.2">
      <c r="B27" t="s">
        <v>584</v>
      </c>
      <c r="C27" s="74" t="s">
        <v>204</v>
      </c>
      <c r="D27" s="88">
        <v>45061</v>
      </c>
      <c r="E27" t="s">
        <v>553</v>
      </c>
      <c r="F27" t="s">
        <v>551</v>
      </c>
      <c r="G27" s="80" t="s">
        <v>16</v>
      </c>
      <c r="H27" t="s">
        <v>548</v>
      </c>
      <c r="I27" t="s">
        <v>36</v>
      </c>
      <c r="J27" t="s">
        <v>151</v>
      </c>
      <c r="K27">
        <v>1</v>
      </c>
    </row>
    <row r="28" spans="2:11" x14ac:dyDescent="0.2">
      <c r="B28" t="s">
        <v>585</v>
      </c>
      <c r="C28" s="74" t="s">
        <v>205</v>
      </c>
      <c r="D28" s="88">
        <v>45061</v>
      </c>
      <c r="E28" t="s">
        <v>553</v>
      </c>
      <c r="F28" t="s">
        <v>551</v>
      </c>
      <c r="G28" s="80" t="s">
        <v>16</v>
      </c>
      <c r="H28" t="s">
        <v>548</v>
      </c>
      <c r="I28" t="s">
        <v>36</v>
      </c>
      <c r="J28" t="s">
        <v>152</v>
      </c>
      <c r="K28">
        <v>1</v>
      </c>
    </row>
    <row r="29" spans="2:11" x14ac:dyDescent="0.2">
      <c r="B29" t="s">
        <v>596</v>
      </c>
      <c r="C29" s="74" t="s">
        <v>206</v>
      </c>
      <c r="D29" s="88">
        <v>45061</v>
      </c>
      <c r="E29" t="s">
        <v>553</v>
      </c>
      <c r="F29" t="s">
        <v>551</v>
      </c>
      <c r="G29" s="80" t="s">
        <v>16</v>
      </c>
      <c r="H29" t="s">
        <v>548</v>
      </c>
      <c r="I29" t="s">
        <v>36</v>
      </c>
      <c r="J29" t="s">
        <v>151</v>
      </c>
      <c r="K29">
        <v>2</v>
      </c>
    </row>
    <row r="30" spans="2:11" x14ac:dyDescent="0.2">
      <c r="B30" t="s">
        <v>597</v>
      </c>
      <c r="C30" s="74" t="s">
        <v>207</v>
      </c>
      <c r="D30" s="88">
        <v>45061</v>
      </c>
      <c r="E30" t="s">
        <v>553</v>
      </c>
      <c r="F30" t="s">
        <v>551</v>
      </c>
      <c r="G30" s="80" t="s">
        <v>16</v>
      </c>
      <c r="H30" t="s">
        <v>548</v>
      </c>
      <c r="I30" t="s">
        <v>36</v>
      </c>
      <c r="J30" t="s">
        <v>152</v>
      </c>
      <c r="K30">
        <v>2</v>
      </c>
    </row>
    <row r="31" spans="2:11" x14ac:dyDescent="0.2">
      <c r="B31" t="s">
        <v>598</v>
      </c>
      <c r="C31" s="74" t="s">
        <v>208</v>
      </c>
      <c r="D31" s="88">
        <v>45061</v>
      </c>
      <c r="E31" t="s">
        <v>553</v>
      </c>
      <c r="F31" t="s">
        <v>551</v>
      </c>
      <c r="G31" s="80" t="s">
        <v>16</v>
      </c>
      <c r="H31" t="s">
        <v>548</v>
      </c>
      <c r="I31" t="s">
        <v>36</v>
      </c>
      <c r="J31" t="s">
        <v>151</v>
      </c>
      <c r="K31">
        <v>3</v>
      </c>
    </row>
    <row r="32" spans="2:11" x14ac:dyDescent="0.2">
      <c r="B32" t="s">
        <v>599</v>
      </c>
      <c r="C32" s="74" t="s">
        <v>209</v>
      </c>
      <c r="D32" s="88">
        <v>45061</v>
      </c>
      <c r="E32" t="s">
        <v>553</v>
      </c>
      <c r="F32" t="s">
        <v>551</v>
      </c>
      <c r="G32" s="80" t="s">
        <v>16</v>
      </c>
      <c r="H32" t="s">
        <v>548</v>
      </c>
      <c r="I32" t="s">
        <v>36</v>
      </c>
      <c r="J32" t="s">
        <v>152</v>
      </c>
      <c r="K32">
        <v>3</v>
      </c>
    </row>
    <row r="33" spans="2:11" x14ac:dyDescent="0.2">
      <c r="B33" t="s">
        <v>588</v>
      </c>
      <c r="C33" s="74" t="s">
        <v>210</v>
      </c>
      <c r="D33" s="88">
        <v>45061</v>
      </c>
      <c r="E33" t="s">
        <v>553</v>
      </c>
      <c r="F33" t="s">
        <v>551</v>
      </c>
      <c r="G33" s="80" t="s">
        <v>16</v>
      </c>
      <c r="H33" t="s">
        <v>548</v>
      </c>
      <c r="I33" t="s">
        <v>45</v>
      </c>
      <c r="J33" t="s">
        <v>151</v>
      </c>
      <c r="K33">
        <v>1</v>
      </c>
    </row>
    <row r="34" spans="2:11" x14ac:dyDescent="0.2">
      <c r="B34" t="s">
        <v>589</v>
      </c>
      <c r="C34" s="74" t="s">
        <v>211</v>
      </c>
      <c r="D34" s="88">
        <v>45061</v>
      </c>
      <c r="E34" t="s">
        <v>553</v>
      </c>
      <c r="F34" t="s">
        <v>551</v>
      </c>
      <c r="G34" s="80" t="s">
        <v>16</v>
      </c>
      <c r="H34" t="s">
        <v>548</v>
      </c>
      <c r="I34" t="s">
        <v>45</v>
      </c>
      <c r="J34" t="s">
        <v>152</v>
      </c>
      <c r="K34">
        <v>1</v>
      </c>
    </row>
    <row r="35" spans="2:11" x14ac:dyDescent="0.2">
      <c r="B35" t="s">
        <v>600</v>
      </c>
      <c r="C35" s="74" t="s">
        <v>212</v>
      </c>
      <c r="D35" s="88">
        <v>45061</v>
      </c>
      <c r="E35" t="s">
        <v>553</v>
      </c>
      <c r="F35" t="s">
        <v>551</v>
      </c>
      <c r="G35" s="80" t="s">
        <v>16</v>
      </c>
      <c r="H35" t="s">
        <v>548</v>
      </c>
      <c r="I35" t="s">
        <v>45</v>
      </c>
      <c r="J35" t="s">
        <v>151</v>
      </c>
      <c r="K35">
        <v>2</v>
      </c>
    </row>
    <row r="36" spans="2:11" x14ac:dyDescent="0.2">
      <c r="B36" t="s">
        <v>601</v>
      </c>
      <c r="C36" s="74" t="s">
        <v>213</v>
      </c>
      <c r="D36" s="88">
        <v>45061</v>
      </c>
      <c r="E36" t="s">
        <v>553</v>
      </c>
      <c r="F36" t="s">
        <v>551</v>
      </c>
      <c r="G36" s="80" t="s">
        <v>16</v>
      </c>
      <c r="H36" t="s">
        <v>548</v>
      </c>
      <c r="I36" t="s">
        <v>45</v>
      </c>
      <c r="J36" t="s">
        <v>152</v>
      </c>
      <c r="K36">
        <v>2</v>
      </c>
    </row>
    <row r="37" spans="2:11" x14ac:dyDescent="0.2">
      <c r="B37" t="s">
        <v>602</v>
      </c>
      <c r="C37" s="74" t="s">
        <v>214</v>
      </c>
      <c r="D37" s="88">
        <v>45061</v>
      </c>
      <c r="E37" t="s">
        <v>553</v>
      </c>
      <c r="F37" t="s">
        <v>551</v>
      </c>
      <c r="G37" s="80" t="s">
        <v>16</v>
      </c>
      <c r="H37" t="s">
        <v>548</v>
      </c>
      <c r="I37" t="s">
        <v>45</v>
      </c>
      <c r="J37" t="s">
        <v>151</v>
      </c>
      <c r="K37">
        <v>3</v>
      </c>
    </row>
    <row r="38" spans="2:11" x14ac:dyDescent="0.2">
      <c r="B38" t="s">
        <v>603</v>
      </c>
      <c r="C38" s="74" t="s">
        <v>215</v>
      </c>
      <c r="D38" s="88">
        <v>45061</v>
      </c>
      <c r="E38" t="s">
        <v>553</v>
      </c>
      <c r="F38" t="s">
        <v>551</v>
      </c>
      <c r="G38" s="80" t="s">
        <v>16</v>
      </c>
      <c r="H38" t="s">
        <v>548</v>
      </c>
      <c r="I38" t="s">
        <v>45</v>
      </c>
      <c r="J38" t="s">
        <v>152</v>
      </c>
      <c r="K38">
        <v>3</v>
      </c>
    </row>
    <row r="39" spans="2:11" x14ac:dyDescent="0.2">
      <c r="B39" t="s">
        <v>604</v>
      </c>
      <c r="C39" s="74" t="s">
        <v>216</v>
      </c>
      <c r="D39" s="88">
        <v>45061</v>
      </c>
      <c r="E39" t="s">
        <v>553</v>
      </c>
      <c r="F39" t="s">
        <v>8</v>
      </c>
      <c r="G39" s="77" t="s">
        <v>9</v>
      </c>
      <c r="H39" t="s">
        <v>545</v>
      </c>
      <c r="I39" t="s">
        <v>43</v>
      </c>
      <c r="J39" t="s">
        <v>151</v>
      </c>
      <c r="K39">
        <v>1</v>
      </c>
    </row>
    <row r="40" spans="2:11" x14ac:dyDescent="0.2">
      <c r="B40" t="s">
        <v>605</v>
      </c>
      <c r="C40" s="74" t="s">
        <v>217</v>
      </c>
      <c r="D40" s="88">
        <v>45061</v>
      </c>
      <c r="E40" t="s">
        <v>553</v>
      </c>
      <c r="F40" t="s">
        <v>8</v>
      </c>
      <c r="G40" s="77" t="s">
        <v>9</v>
      </c>
      <c r="H40" t="s">
        <v>545</v>
      </c>
      <c r="I40" t="s">
        <v>43</v>
      </c>
      <c r="J40" t="s">
        <v>152</v>
      </c>
      <c r="K40">
        <v>1</v>
      </c>
    </row>
    <row r="41" spans="2:11" x14ac:dyDescent="0.2">
      <c r="B41" t="s">
        <v>608</v>
      </c>
      <c r="C41" s="74" t="s">
        <v>218</v>
      </c>
      <c r="D41" s="88">
        <v>45061</v>
      </c>
      <c r="E41" t="s">
        <v>553</v>
      </c>
      <c r="F41" t="s">
        <v>8</v>
      </c>
      <c r="G41" s="77" t="s">
        <v>9</v>
      </c>
      <c r="H41" t="s">
        <v>545</v>
      </c>
      <c r="I41" t="s">
        <v>43</v>
      </c>
      <c r="J41" t="s">
        <v>151</v>
      </c>
      <c r="K41">
        <v>2</v>
      </c>
    </row>
    <row r="42" spans="2:11" x14ac:dyDescent="0.2">
      <c r="B42" t="s">
        <v>609</v>
      </c>
      <c r="C42" s="74" t="s">
        <v>219</v>
      </c>
      <c r="D42" s="88">
        <v>45061</v>
      </c>
      <c r="E42" t="s">
        <v>553</v>
      </c>
      <c r="F42" t="s">
        <v>8</v>
      </c>
      <c r="G42" s="77" t="s">
        <v>9</v>
      </c>
      <c r="H42" t="s">
        <v>545</v>
      </c>
      <c r="I42" t="s">
        <v>43</v>
      </c>
      <c r="J42" t="s">
        <v>152</v>
      </c>
      <c r="K42">
        <v>2</v>
      </c>
    </row>
    <row r="43" spans="2:11" x14ac:dyDescent="0.2">
      <c r="B43" t="s">
        <v>610</v>
      </c>
      <c r="C43" s="74" t="s">
        <v>220</v>
      </c>
      <c r="D43" s="88">
        <v>45061</v>
      </c>
      <c r="E43" t="s">
        <v>553</v>
      </c>
      <c r="F43" t="s">
        <v>8</v>
      </c>
      <c r="G43" s="77" t="s">
        <v>9</v>
      </c>
      <c r="H43" t="s">
        <v>545</v>
      </c>
      <c r="I43" t="s">
        <v>43</v>
      </c>
      <c r="J43" t="s">
        <v>151</v>
      </c>
      <c r="K43">
        <v>3</v>
      </c>
    </row>
    <row r="44" spans="2:11" x14ac:dyDescent="0.2">
      <c r="B44" t="s">
        <v>611</v>
      </c>
      <c r="C44" s="74" t="s">
        <v>221</v>
      </c>
      <c r="D44" s="88">
        <v>45061</v>
      </c>
      <c r="E44" t="s">
        <v>553</v>
      </c>
      <c r="F44" t="s">
        <v>8</v>
      </c>
      <c r="G44" s="77" t="s">
        <v>9</v>
      </c>
      <c r="H44" t="s">
        <v>545</v>
      </c>
      <c r="I44" t="s">
        <v>43</v>
      </c>
      <c r="J44" t="s">
        <v>152</v>
      </c>
      <c r="K44">
        <v>3</v>
      </c>
    </row>
    <row r="45" spans="2:11" x14ac:dyDescent="0.2">
      <c r="B45" t="s">
        <v>612</v>
      </c>
      <c r="C45" s="74" t="s">
        <v>222</v>
      </c>
      <c r="D45" s="88">
        <v>45061</v>
      </c>
      <c r="E45" t="s">
        <v>553</v>
      </c>
      <c r="F45" t="s">
        <v>8</v>
      </c>
      <c r="G45" s="77" t="s">
        <v>9</v>
      </c>
      <c r="H45" t="s">
        <v>545</v>
      </c>
      <c r="I45" t="s">
        <v>74</v>
      </c>
      <c r="J45" t="s">
        <v>151</v>
      </c>
      <c r="K45">
        <v>1</v>
      </c>
    </row>
    <row r="46" spans="2:11" x14ac:dyDescent="0.2">
      <c r="B46" t="s">
        <v>615</v>
      </c>
      <c r="C46" s="74" t="s">
        <v>223</v>
      </c>
      <c r="D46" s="88">
        <v>45061</v>
      </c>
      <c r="E46" t="s">
        <v>553</v>
      </c>
      <c r="F46" t="s">
        <v>8</v>
      </c>
      <c r="G46" s="77" t="s">
        <v>9</v>
      </c>
      <c r="H46" t="s">
        <v>545</v>
      </c>
      <c r="I46" t="s">
        <v>74</v>
      </c>
      <c r="J46" t="s">
        <v>152</v>
      </c>
      <c r="K46">
        <v>1</v>
      </c>
    </row>
    <row r="47" spans="2:11" x14ac:dyDescent="0.2">
      <c r="B47" t="s">
        <v>616</v>
      </c>
      <c r="C47" s="74" t="s">
        <v>224</v>
      </c>
      <c r="D47" s="88">
        <v>45061</v>
      </c>
      <c r="E47" t="s">
        <v>553</v>
      </c>
      <c r="F47" t="s">
        <v>8</v>
      </c>
      <c r="G47" s="77" t="s">
        <v>9</v>
      </c>
      <c r="H47" t="s">
        <v>545</v>
      </c>
      <c r="I47" t="s">
        <v>74</v>
      </c>
      <c r="J47" t="s">
        <v>151</v>
      </c>
      <c r="K47">
        <v>2</v>
      </c>
    </row>
    <row r="48" spans="2:11" x14ac:dyDescent="0.2">
      <c r="B48" t="s">
        <v>617</v>
      </c>
      <c r="C48" s="74" t="s">
        <v>225</v>
      </c>
      <c r="D48" s="88">
        <v>45061</v>
      </c>
      <c r="E48" t="s">
        <v>553</v>
      </c>
      <c r="F48" t="s">
        <v>8</v>
      </c>
      <c r="G48" s="77" t="s">
        <v>9</v>
      </c>
      <c r="H48" t="s">
        <v>545</v>
      </c>
      <c r="I48" t="s">
        <v>74</v>
      </c>
      <c r="J48" t="s">
        <v>152</v>
      </c>
      <c r="K48">
        <v>2</v>
      </c>
    </row>
    <row r="49" spans="2:12" x14ac:dyDescent="0.2">
      <c r="B49" t="s">
        <v>618</v>
      </c>
      <c r="C49" s="74" t="s">
        <v>226</v>
      </c>
      <c r="D49" s="88">
        <v>45061</v>
      </c>
      <c r="E49" t="s">
        <v>553</v>
      </c>
      <c r="F49" t="s">
        <v>8</v>
      </c>
      <c r="G49" s="77" t="s">
        <v>9</v>
      </c>
      <c r="H49" t="s">
        <v>545</v>
      </c>
      <c r="I49" t="s">
        <v>74</v>
      </c>
      <c r="J49" t="s">
        <v>151</v>
      </c>
      <c r="K49">
        <v>3</v>
      </c>
    </row>
    <row r="50" spans="2:12" x14ac:dyDescent="0.2">
      <c r="B50" t="s">
        <v>619</v>
      </c>
      <c r="C50" s="74" t="s">
        <v>227</v>
      </c>
      <c r="D50" s="88">
        <v>45061</v>
      </c>
      <c r="E50" t="s">
        <v>553</v>
      </c>
      <c r="F50" t="s">
        <v>8</v>
      </c>
      <c r="G50" s="77" t="s">
        <v>9</v>
      </c>
      <c r="H50" t="s">
        <v>545</v>
      </c>
      <c r="I50" t="s">
        <v>74</v>
      </c>
      <c r="J50" t="s">
        <v>152</v>
      </c>
      <c r="K50">
        <v>3</v>
      </c>
    </row>
    <row r="51" spans="2:12" x14ac:dyDescent="0.2">
      <c r="B51" t="s">
        <v>620</v>
      </c>
      <c r="C51" s="74" t="s">
        <v>228</v>
      </c>
      <c r="D51" s="88">
        <v>45061</v>
      </c>
      <c r="E51" t="s">
        <v>553</v>
      </c>
      <c r="F51" t="s">
        <v>8</v>
      </c>
      <c r="G51" s="77" t="s">
        <v>9</v>
      </c>
      <c r="H51" t="s">
        <v>545</v>
      </c>
      <c r="I51" t="s">
        <v>51</v>
      </c>
      <c r="J51" t="s">
        <v>151</v>
      </c>
      <c r="K51">
        <v>1</v>
      </c>
    </row>
    <row r="52" spans="2:12" x14ac:dyDescent="0.2">
      <c r="B52" t="s">
        <v>621</v>
      </c>
      <c r="C52" s="74" t="s">
        <v>229</v>
      </c>
      <c r="D52" s="88">
        <v>45061</v>
      </c>
      <c r="E52" t="s">
        <v>553</v>
      </c>
      <c r="F52" t="s">
        <v>8</v>
      </c>
      <c r="G52" s="77" t="s">
        <v>9</v>
      </c>
      <c r="H52" t="s">
        <v>545</v>
      </c>
      <c r="I52" t="s">
        <v>51</v>
      </c>
      <c r="J52" t="s">
        <v>152</v>
      </c>
      <c r="K52">
        <v>1</v>
      </c>
    </row>
    <row r="53" spans="2:12" x14ac:dyDescent="0.2">
      <c r="B53" t="s">
        <v>624</v>
      </c>
      <c r="C53" s="74" t="s">
        <v>230</v>
      </c>
      <c r="D53" s="88">
        <v>45061</v>
      </c>
      <c r="E53" t="s">
        <v>553</v>
      </c>
      <c r="F53" t="s">
        <v>8</v>
      </c>
      <c r="G53" s="77" t="s">
        <v>9</v>
      </c>
      <c r="H53" t="s">
        <v>545</v>
      </c>
      <c r="I53" t="s">
        <v>51</v>
      </c>
      <c r="J53" t="s">
        <v>151</v>
      </c>
      <c r="K53">
        <v>2</v>
      </c>
    </row>
    <row r="54" spans="2:12" x14ac:dyDescent="0.2">
      <c r="B54" t="s">
        <v>625</v>
      </c>
      <c r="C54" s="74" t="s">
        <v>231</v>
      </c>
      <c r="D54" s="88">
        <v>45061</v>
      </c>
      <c r="E54" t="s">
        <v>553</v>
      </c>
      <c r="F54" t="s">
        <v>8</v>
      </c>
      <c r="G54" s="77" t="s">
        <v>9</v>
      </c>
      <c r="H54" t="s">
        <v>545</v>
      </c>
      <c r="I54" t="s">
        <v>51</v>
      </c>
      <c r="J54" t="s">
        <v>152</v>
      </c>
      <c r="K54">
        <v>2</v>
      </c>
    </row>
    <row r="55" spans="2:12" x14ac:dyDescent="0.2">
      <c r="B55" t="s">
        <v>626</v>
      </c>
      <c r="C55" s="74" t="s">
        <v>232</v>
      </c>
      <c r="D55" s="88">
        <v>45061</v>
      </c>
      <c r="E55" t="s">
        <v>553</v>
      </c>
      <c r="F55" t="s">
        <v>8</v>
      </c>
      <c r="G55" s="77" t="s">
        <v>9</v>
      </c>
      <c r="H55" t="s">
        <v>545</v>
      </c>
      <c r="I55" t="s">
        <v>51</v>
      </c>
      <c r="J55" t="s">
        <v>151</v>
      </c>
      <c r="K55">
        <v>3</v>
      </c>
    </row>
    <row r="56" spans="2:12" x14ac:dyDescent="0.2">
      <c r="B56" t="s">
        <v>627</v>
      </c>
      <c r="C56" s="74" t="s">
        <v>233</v>
      </c>
      <c r="D56" s="88">
        <v>45061</v>
      </c>
      <c r="E56" t="s">
        <v>553</v>
      </c>
      <c r="F56" t="s">
        <v>8</v>
      </c>
      <c r="G56" s="77" t="s">
        <v>9</v>
      </c>
      <c r="H56" t="s">
        <v>545</v>
      </c>
      <c r="I56" t="s">
        <v>51</v>
      </c>
      <c r="J56" t="s">
        <v>152</v>
      </c>
      <c r="K56">
        <v>3</v>
      </c>
    </row>
    <row r="57" spans="2:12" x14ac:dyDescent="0.2">
      <c r="B57" t="s">
        <v>628</v>
      </c>
      <c r="C57" s="74" t="s">
        <v>234</v>
      </c>
      <c r="D57" s="88">
        <v>45061</v>
      </c>
      <c r="E57" t="s">
        <v>553</v>
      </c>
      <c r="F57" t="s">
        <v>8</v>
      </c>
      <c r="G57" s="77" t="s">
        <v>9</v>
      </c>
      <c r="H57" t="s">
        <v>545</v>
      </c>
      <c r="I57" t="s">
        <v>60</v>
      </c>
      <c r="J57" t="s">
        <v>151</v>
      </c>
      <c r="K57">
        <v>1</v>
      </c>
    </row>
    <row r="58" spans="2:12" x14ac:dyDescent="0.2">
      <c r="B58" t="s">
        <v>629</v>
      </c>
      <c r="C58" s="74" t="s">
        <v>235</v>
      </c>
      <c r="D58" s="88">
        <v>45061</v>
      </c>
      <c r="E58" t="s">
        <v>553</v>
      </c>
      <c r="F58" t="s">
        <v>8</v>
      </c>
      <c r="G58" s="77" t="s">
        <v>9</v>
      </c>
      <c r="H58" t="s">
        <v>545</v>
      </c>
      <c r="I58" t="s">
        <v>60</v>
      </c>
      <c r="J58" t="s">
        <v>152</v>
      </c>
      <c r="K58">
        <v>1</v>
      </c>
    </row>
    <row r="59" spans="2:12" x14ac:dyDescent="0.2">
      <c r="B59" t="s">
        <v>678</v>
      </c>
      <c r="C59" s="74" t="s">
        <v>236</v>
      </c>
      <c r="D59" s="88">
        <v>45061</v>
      </c>
      <c r="E59" t="s">
        <v>553</v>
      </c>
      <c r="F59" t="s">
        <v>8</v>
      </c>
      <c r="G59" s="77" t="s">
        <v>9</v>
      </c>
      <c r="H59" t="s">
        <v>545</v>
      </c>
      <c r="I59" t="s">
        <v>60</v>
      </c>
      <c r="J59" t="s">
        <v>151</v>
      </c>
      <c r="K59">
        <v>2</v>
      </c>
      <c r="L59" t="s">
        <v>920</v>
      </c>
    </row>
    <row r="60" spans="2:12" x14ac:dyDescent="0.2">
      <c r="B60" t="s">
        <v>679</v>
      </c>
      <c r="C60" s="74" t="s">
        <v>237</v>
      </c>
      <c r="D60" s="88">
        <v>45061</v>
      </c>
      <c r="E60" t="s">
        <v>553</v>
      </c>
      <c r="F60" t="s">
        <v>8</v>
      </c>
      <c r="G60" s="77" t="s">
        <v>9</v>
      </c>
      <c r="H60" t="s">
        <v>545</v>
      </c>
      <c r="I60" t="s">
        <v>60</v>
      </c>
      <c r="J60" t="s">
        <v>152</v>
      </c>
      <c r="K60">
        <v>2</v>
      </c>
      <c r="L60" t="s">
        <v>920</v>
      </c>
    </row>
    <row r="61" spans="2:12" x14ac:dyDescent="0.2">
      <c r="B61" t="s">
        <v>680</v>
      </c>
      <c r="C61" s="74" t="s">
        <v>238</v>
      </c>
      <c r="D61" s="88">
        <v>45061</v>
      </c>
      <c r="E61" t="s">
        <v>553</v>
      </c>
      <c r="F61" t="s">
        <v>8</v>
      </c>
      <c r="G61" s="77" t="s">
        <v>9</v>
      </c>
      <c r="H61" t="s">
        <v>545</v>
      </c>
      <c r="I61" t="s">
        <v>60</v>
      </c>
      <c r="J61" t="s">
        <v>151</v>
      </c>
      <c r="K61">
        <v>3</v>
      </c>
    </row>
    <row r="62" spans="2:12" x14ac:dyDescent="0.2">
      <c r="B62" t="s">
        <v>681</v>
      </c>
      <c r="C62" s="74" t="s">
        <v>239</v>
      </c>
      <c r="D62" s="88">
        <v>45061</v>
      </c>
      <c r="E62" t="s">
        <v>553</v>
      </c>
      <c r="F62" t="s">
        <v>8</v>
      </c>
      <c r="G62" s="77" t="s">
        <v>9</v>
      </c>
      <c r="H62" t="s">
        <v>545</v>
      </c>
      <c r="I62" t="s">
        <v>60</v>
      </c>
      <c r="J62" t="s">
        <v>152</v>
      </c>
      <c r="K62">
        <v>3</v>
      </c>
    </row>
    <row r="63" spans="2:12" x14ac:dyDescent="0.2">
      <c r="B63" t="s">
        <v>632</v>
      </c>
      <c r="C63" s="74" t="s">
        <v>240</v>
      </c>
      <c r="D63" s="88">
        <v>45061</v>
      </c>
      <c r="E63" t="s">
        <v>553</v>
      </c>
      <c r="F63" t="s">
        <v>8</v>
      </c>
      <c r="G63" s="77" t="s">
        <v>9</v>
      </c>
      <c r="H63" t="s">
        <v>545</v>
      </c>
      <c r="I63" t="s">
        <v>36</v>
      </c>
      <c r="J63" t="s">
        <v>151</v>
      </c>
      <c r="K63">
        <v>1</v>
      </c>
    </row>
    <row r="64" spans="2:12" x14ac:dyDescent="0.2">
      <c r="B64" t="s">
        <v>633</v>
      </c>
      <c r="C64" s="74" t="s">
        <v>241</v>
      </c>
      <c r="D64" s="88">
        <v>45061</v>
      </c>
      <c r="E64" t="s">
        <v>553</v>
      </c>
      <c r="F64" t="s">
        <v>8</v>
      </c>
      <c r="G64" s="77" t="s">
        <v>9</v>
      </c>
      <c r="H64" t="s">
        <v>545</v>
      </c>
      <c r="I64" t="s">
        <v>36</v>
      </c>
      <c r="J64" t="s">
        <v>152</v>
      </c>
      <c r="K64">
        <v>1</v>
      </c>
    </row>
    <row r="65" spans="2:11" x14ac:dyDescent="0.2">
      <c r="B65" t="s">
        <v>682</v>
      </c>
      <c r="C65" s="74" t="s">
        <v>242</v>
      </c>
      <c r="D65" s="88">
        <v>45061</v>
      </c>
      <c r="E65" t="s">
        <v>553</v>
      </c>
      <c r="F65" t="s">
        <v>8</v>
      </c>
      <c r="G65" s="77" t="s">
        <v>9</v>
      </c>
      <c r="H65" t="s">
        <v>545</v>
      </c>
      <c r="I65" t="s">
        <v>36</v>
      </c>
      <c r="J65" t="s">
        <v>151</v>
      </c>
      <c r="K65">
        <v>2</v>
      </c>
    </row>
    <row r="66" spans="2:11" x14ac:dyDescent="0.2">
      <c r="B66" t="s">
        <v>683</v>
      </c>
      <c r="C66" s="74" t="s">
        <v>243</v>
      </c>
      <c r="D66" s="88">
        <v>45061</v>
      </c>
      <c r="E66" t="s">
        <v>553</v>
      </c>
      <c r="F66" t="s">
        <v>8</v>
      </c>
      <c r="G66" s="77" t="s">
        <v>9</v>
      </c>
      <c r="H66" t="s">
        <v>545</v>
      </c>
      <c r="I66" t="s">
        <v>36</v>
      </c>
      <c r="J66" t="s">
        <v>152</v>
      </c>
      <c r="K66">
        <v>2</v>
      </c>
    </row>
    <row r="67" spans="2:11" x14ac:dyDescent="0.2">
      <c r="B67" t="s">
        <v>684</v>
      </c>
      <c r="C67" s="74" t="s">
        <v>244</v>
      </c>
      <c r="D67" s="88">
        <v>45061</v>
      </c>
      <c r="E67" t="s">
        <v>553</v>
      </c>
      <c r="F67" t="s">
        <v>8</v>
      </c>
      <c r="G67" s="77" t="s">
        <v>9</v>
      </c>
      <c r="H67" t="s">
        <v>545</v>
      </c>
      <c r="I67" t="s">
        <v>36</v>
      </c>
      <c r="J67" t="s">
        <v>151</v>
      </c>
      <c r="K67">
        <v>3</v>
      </c>
    </row>
    <row r="68" spans="2:11" x14ac:dyDescent="0.2">
      <c r="B68" t="s">
        <v>685</v>
      </c>
      <c r="C68" s="74" t="s">
        <v>245</v>
      </c>
      <c r="D68" s="88">
        <v>45061</v>
      </c>
      <c r="E68" t="s">
        <v>553</v>
      </c>
      <c r="F68" t="s">
        <v>8</v>
      </c>
      <c r="G68" s="77" t="s">
        <v>9</v>
      </c>
      <c r="H68" t="s">
        <v>545</v>
      </c>
      <c r="I68" t="s">
        <v>36</v>
      </c>
      <c r="J68" t="s">
        <v>152</v>
      </c>
      <c r="K68">
        <v>3</v>
      </c>
    </row>
    <row r="69" spans="2:11" x14ac:dyDescent="0.2">
      <c r="B69" t="s">
        <v>636</v>
      </c>
      <c r="C69" s="74" t="s">
        <v>246</v>
      </c>
      <c r="D69" s="88">
        <v>45061</v>
      </c>
      <c r="E69" t="s">
        <v>553</v>
      </c>
      <c r="F69" t="s">
        <v>8</v>
      </c>
      <c r="G69" s="77" t="s">
        <v>9</v>
      </c>
      <c r="H69" t="s">
        <v>545</v>
      </c>
      <c r="I69" t="s">
        <v>45</v>
      </c>
      <c r="J69" t="s">
        <v>151</v>
      </c>
      <c r="K69">
        <v>1</v>
      </c>
    </row>
    <row r="70" spans="2:11" x14ac:dyDescent="0.2">
      <c r="B70" t="s">
        <v>637</v>
      </c>
      <c r="C70" s="74" t="s">
        <v>247</v>
      </c>
      <c r="D70" s="88">
        <v>45061</v>
      </c>
      <c r="E70" t="s">
        <v>553</v>
      </c>
      <c r="F70" t="s">
        <v>8</v>
      </c>
      <c r="G70" s="77" t="s">
        <v>9</v>
      </c>
      <c r="H70" t="s">
        <v>545</v>
      </c>
      <c r="I70" t="s">
        <v>45</v>
      </c>
      <c r="J70" t="s">
        <v>152</v>
      </c>
      <c r="K70">
        <v>1</v>
      </c>
    </row>
    <row r="71" spans="2:11" x14ac:dyDescent="0.2">
      <c r="B71" t="s">
        <v>686</v>
      </c>
      <c r="C71" s="74" t="s">
        <v>248</v>
      </c>
      <c r="D71" s="88">
        <v>45061</v>
      </c>
      <c r="E71" t="s">
        <v>553</v>
      </c>
      <c r="F71" t="s">
        <v>8</v>
      </c>
      <c r="G71" s="77" t="s">
        <v>9</v>
      </c>
      <c r="H71" t="s">
        <v>545</v>
      </c>
      <c r="I71" t="s">
        <v>45</v>
      </c>
      <c r="J71" t="s">
        <v>151</v>
      </c>
      <c r="K71">
        <v>2</v>
      </c>
    </row>
    <row r="72" spans="2:11" x14ac:dyDescent="0.2">
      <c r="B72" t="s">
        <v>687</v>
      </c>
      <c r="C72" s="74" t="s">
        <v>249</v>
      </c>
      <c r="D72" s="88">
        <v>45061</v>
      </c>
      <c r="E72" t="s">
        <v>553</v>
      </c>
      <c r="F72" t="s">
        <v>8</v>
      </c>
      <c r="G72" s="77" t="s">
        <v>9</v>
      </c>
      <c r="H72" t="s">
        <v>545</v>
      </c>
      <c r="I72" t="s">
        <v>45</v>
      </c>
      <c r="J72" t="s">
        <v>152</v>
      </c>
      <c r="K72">
        <v>2</v>
      </c>
    </row>
    <row r="73" spans="2:11" x14ac:dyDescent="0.2">
      <c r="B73" t="s">
        <v>688</v>
      </c>
      <c r="C73" s="74" t="s">
        <v>250</v>
      </c>
      <c r="D73" s="88">
        <v>45061</v>
      </c>
      <c r="E73" t="s">
        <v>553</v>
      </c>
      <c r="F73" t="s">
        <v>8</v>
      </c>
      <c r="G73" s="77" t="s">
        <v>9</v>
      </c>
      <c r="H73" t="s">
        <v>545</v>
      </c>
      <c r="I73" t="s">
        <v>45</v>
      </c>
      <c r="J73" t="s">
        <v>151</v>
      </c>
      <c r="K73">
        <v>3</v>
      </c>
    </row>
    <row r="74" spans="2:11" x14ac:dyDescent="0.2">
      <c r="B74" t="s">
        <v>689</v>
      </c>
      <c r="C74" s="74" t="s">
        <v>251</v>
      </c>
      <c r="D74" s="88">
        <v>45061</v>
      </c>
      <c r="E74" t="s">
        <v>553</v>
      </c>
      <c r="F74" t="s">
        <v>8</v>
      </c>
      <c r="G74" s="77" t="s">
        <v>9</v>
      </c>
      <c r="H74" t="s">
        <v>545</v>
      </c>
      <c r="I74" t="s">
        <v>45</v>
      </c>
      <c r="J74" t="s">
        <v>152</v>
      </c>
      <c r="K74">
        <v>3</v>
      </c>
    </row>
    <row r="75" spans="2:11" x14ac:dyDescent="0.2">
      <c r="B75" t="s">
        <v>692</v>
      </c>
      <c r="C75" s="74" t="s">
        <v>252</v>
      </c>
      <c r="D75" s="88">
        <v>45061</v>
      </c>
      <c r="E75" t="s">
        <v>553</v>
      </c>
      <c r="F75" t="s">
        <v>8</v>
      </c>
      <c r="G75" s="77" t="s">
        <v>9</v>
      </c>
      <c r="H75" t="s">
        <v>545</v>
      </c>
      <c r="I75" t="s">
        <v>62</v>
      </c>
      <c r="J75" t="s">
        <v>151</v>
      </c>
      <c r="K75">
        <v>1</v>
      </c>
    </row>
    <row r="76" spans="2:11" x14ac:dyDescent="0.2">
      <c r="B76" t="s">
        <v>693</v>
      </c>
      <c r="C76" s="74" t="s">
        <v>253</v>
      </c>
      <c r="D76" s="88">
        <v>45061</v>
      </c>
      <c r="E76" t="s">
        <v>553</v>
      </c>
      <c r="F76" t="s">
        <v>8</v>
      </c>
      <c r="G76" s="77" t="s">
        <v>9</v>
      </c>
      <c r="H76" t="s">
        <v>545</v>
      </c>
      <c r="I76" t="s">
        <v>62</v>
      </c>
      <c r="J76" t="s">
        <v>152</v>
      </c>
      <c r="K76">
        <v>1</v>
      </c>
    </row>
    <row r="77" spans="2:11" x14ac:dyDescent="0.2">
      <c r="B77" t="s">
        <v>700</v>
      </c>
      <c r="C77" s="74" t="s">
        <v>254</v>
      </c>
      <c r="D77" s="88">
        <v>45061</v>
      </c>
      <c r="E77" t="s">
        <v>553</v>
      </c>
      <c r="F77" t="s">
        <v>8</v>
      </c>
      <c r="G77" s="77" t="s">
        <v>9</v>
      </c>
      <c r="H77" t="s">
        <v>545</v>
      </c>
      <c r="I77" t="s">
        <v>62</v>
      </c>
      <c r="J77" t="s">
        <v>151</v>
      </c>
      <c r="K77">
        <v>2</v>
      </c>
    </row>
    <row r="78" spans="2:11" x14ac:dyDescent="0.2">
      <c r="B78" t="s">
        <v>701</v>
      </c>
      <c r="C78" s="74" t="s">
        <v>255</v>
      </c>
      <c r="D78" s="88">
        <v>45061</v>
      </c>
      <c r="E78" t="s">
        <v>553</v>
      </c>
      <c r="F78" t="s">
        <v>8</v>
      </c>
      <c r="G78" s="77" t="s">
        <v>9</v>
      </c>
      <c r="H78" t="s">
        <v>545</v>
      </c>
      <c r="I78" t="s">
        <v>62</v>
      </c>
      <c r="J78" t="s">
        <v>152</v>
      </c>
      <c r="K78">
        <v>2</v>
      </c>
    </row>
    <row r="79" spans="2:11" x14ac:dyDescent="0.2">
      <c r="B79" t="s">
        <v>702</v>
      </c>
      <c r="C79" s="74" t="s">
        <v>256</v>
      </c>
      <c r="D79" s="88">
        <v>45061</v>
      </c>
      <c r="E79" t="s">
        <v>553</v>
      </c>
      <c r="F79" t="s">
        <v>8</v>
      </c>
      <c r="G79" s="77" t="s">
        <v>9</v>
      </c>
      <c r="H79" t="s">
        <v>545</v>
      </c>
      <c r="I79" t="s">
        <v>62</v>
      </c>
      <c r="J79" t="s">
        <v>151</v>
      </c>
      <c r="K79">
        <v>3</v>
      </c>
    </row>
    <row r="80" spans="2:11" x14ac:dyDescent="0.2">
      <c r="B80" t="s">
        <v>703</v>
      </c>
      <c r="C80" s="74" t="s">
        <v>257</v>
      </c>
      <c r="D80" s="88">
        <v>45061</v>
      </c>
      <c r="E80" t="s">
        <v>553</v>
      </c>
      <c r="F80" t="s">
        <v>8</v>
      </c>
      <c r="G80" s="77" t="s">
        <v>9</v>
      </c>
      <c r="H80" t="s">
        <v>545</v>
      </c>
      <c r="I80" t="s">
        <v>62</v>
      </c>
      <c r="J80" t="s">
        <v>152</v>
      </c>
      <c r="K80">
        <v>3</v>
      </c>
    </row>
    <row r="81" spans="2:12" x14ac:dyDescent="0.2">
      <c r="B81" t="s">
        <v>704</v>
      </c>
      <c r="C81" s="74" t="s">
        <v>258</v>
      </c>
      <c r="D81" s="88">
        <v>45061</v>
      </c>
      <c r="E81" t="s">
        <v>553</v>
      </c>
      <c r="F81" t="s">
        <v>90</v>
      </c>
      <c r="G81" s="78" t="s">
        <v>96</v>
      </c>
      <c r="H81" t="s">
        <v>546</v>
      </c>
      <c r="I81" t="s">
        <v>51</v>
      </c>
      <c r="J81" t="s">
        <v>152</v>
      </c>
      <c r="K81">
        <v>1</v>
      </c>
      <c r="L81" t="s">
        <v>921</v>
      </c>
    </row>
    <row r="82" spans="2:12" x14ac:dyDescent="0.2">
      <c r="B82" t="s">
        <v>707</v>
      </c>
      <c r="C82" s="74" t="s">
        <v>259</v>
      </c>
      <c r="D82" s="88">
        <v>45061</v>
      </c>
      <c r="E82" t="s">
        <v>553</v>
      </c>
      <c r="F82" t="s">
        <v>90</v>
      </c>
      <c r="G82" s="78" t="s">
        <v>96</v>
      </c>
      <c r="H82" t="s">
        <v>546</v>
      </c>
      <c r="I82" t="s">
        <v>51</v>
      </c>
      <c r="J82" t="s">
        <v>152</v>
      </c>
      <c r="K82">
        <v>2</v>
      </c>
      <c r="L82" t="s">
        <v>921</v>
      </c>
    </row>
    <row r="83" spans="2:12" x14ac:dyDescent="0.2">
      <c r="B83" t="s">
        <v>708</v>
      </c>
      <c r="C83" s="74" t="s">
        <v>260</v>
      </c>
      <c r="D83" s="88">
        <v>45061</v>
      </c>
      <c r="E83" t="s">
        <v>553</v>
      </c>
      <c r="F83" t="s">
        <v>90</v>
      </c>
      <c r="G83" s="78" t="s">
        <v>96</v>
      </c>
      <c r="H83" t="s">
        <v>546</v>
      </c>
      <c r="I83" t="s">
        <v>51</v>
      </c>
      <c r="J83" t="s">
        <v>152</v>
      </c>
      <c r="K83">
        <v>3</v>
      </c>
      <c r="L83" t="s">
        <v>921</v>
      </c>
    </row>
    <row r="84" spans="2:12" x14ac:dyDescent="0.2">
      <c r="B84" t="s">
        <v>640</v>
      </c>
      <c r="C84" s="74" t="s">
        <v>261</v>
      </c>
      <c r="D84" s="88">
        <v>45061</v>
      </c>
      <c r="E84" t="s">
        <v>553</v>
      </c>
      <c r="F84" t="s">
        <v>90</v>
      </c>
      <c r="G84" s="78" t="s">
        <v>96</v>
      </c>
      <c r="H84" t="s">
        <v>546</v>
      </c>
      <c r="I84" t="s">
        <v>60</v>
      </c>
      <c r="J84" t="s">
        <v>151</v>
      </c>
      <c r="K84">
        <v>1</v>
      </c>
    </row>
    <row r="85" spans="2:12" x14ac:dyDescent="0.2">
      <c r="B85" t="s">
        <v>641</v>
      </c>
      <c r="C85" s="74" t="s">
        <v>262</v>
      </c>
      <c r="D85" s="88">
        <v>45061</v>
      </c>
      <c r="E85" t="s">
        <v>553</v>
      </c>
      <c r="F85" t="s">
        <v>90</v>
      </c>
      <c r="G85" s="78" t="s">
        <v>96</v>
      </c>
      <c r="H85" t="s">
        <v>546</v>
      </c>
      <c r="I85" t="s">
        <v>60</v>
      </c>
      <c r="J85" t="s">
        <v>152</v>
      </c>
      <c r="K85">
        <v>1</v>
      </c>
    </row>
    <row r="86" spans="2:12" x14ac:dyDescent="0.2">
      <c r="B86" t="s">
        <v>709</v>
      </c>
      <c r="C86" s="74" t="s">
        <v>263</v>
      </c>
      <c r="D86" s="88">
        <v>45061</v>
      </c>
      <c r="E86" t="s">
        <v>553</v>
      </c>
      <c r="F86" t="s">
        <v>90</v>
      </c>
      <c r="G86" s="78" t="s">
        <v>96</v>
      </c>
      <c r="H86" t="s">
        <v>546</v>
      </c>
      <c r="I86" t="s">
        <v>60</v>
      </c>
      <c r="J86" t="s">
        <v>151</v>
      </c>
      <c r="K86">
        <v>2</v>
      </c>
    </row>
    <row r="87" spans="2:12" x14ac:dyDescent="0.2">
      <c r="B87" t="s">
        <v>710</v>
      </c>
      <c r="C87" s="74" t="s">
        <v>264</v>
      </c>
      <c r="D87" s="88">
        <v>45061</v>
      </c>
      <c r="E87" t="s">
        <v>553</v>
      </c>
      <c r="F87" t="s">
        <v>90</v>
      </c>
      <c r="G87" s="78" t="s">
        <v>96</v>
      </c>
      <c r="H87" t="s">
        <v>546</v>
      </c>
      <c r="I87" t="s">
        <v>60</v>
      </c>
      <c r="J87" t="s">
        <v>152</v>
      </c>
      <c r="K87">
        <v>2</v>
      </c>
    </row>
    <row r="88" spans="2:12" x14ac:dyDescent="0.2">
      <c r="B88" t="s">
        <v>711</v>
      </c>
      <c r="C88" s="74" t="s">
        <v>265</v>
      </c>
      <c r="D88" s="88">
        <v>45061</v>
      </c>
      <c r="E88" t="s">
        <v>553</v>
      </c>
      <c r="F88" t="s">
        <v>90</v>
      </c>
      <c r="G88" s="78" t="s">
        <v>96</v>
      </c>
      <c r="H88" t="s">
        <v>546</v>
      </c>
      <c r="I88" t="s">
        <v>60</v>
      </c>
      <c r="J88" t="s">
        <v>151</v>
      </c>
      <c r="K88">
        <v>3</v>
      </c>
    </row>
    <row r="89" spans="2:12" x14ac:dyDescent="0.2">
      <c r="B89" t="s">
        <v>712</v>
      </c>
      <c r="C89" s="74" t="s">
        <v>266</v>
      </c>
      <c r="D89" s="88">
        <v>45061</v>
      </c>
      <c r="E89" t="s">
        <v>553</v>
      </c>
      <c r="F89" t="s">
        <v>90</v>
      </c>
      <c r="G89" s="78" t="s">
        <v>96</v>
      </c>
      <c r="H89" t="s">
        <v>546</v>
      </c>
      <c r="I89" t="s">
        <v>60</v>
      </c>
      <c r="J89" t="s">
        <v>152</v>
      </c>
      <c r="K89">
        <v>3</v>
      </c>
    </row>
    <row r="90" spans="2:12" x14ac:dyDescent="0.2">
      <c r="B90" t="s">
        <v>644</v>
      </c>
      <c r="C90" s="74" t="s">
        <v>267</v>
      </c>
      <c r="D90" s="88">
        <v>45061</v>
      </c>
      <c r="E90" t="s">
        <v>553</v>
      </c>
      <c r="F90" t="s">
        <v>90</v>
      </c>
      <c r="G90" s="78" t="s">
        <v>96</v>
      </c>
      <c r="H90" t="s">
        <v>546</v>
      </c>
      <c r="I90" t="s">
        <v>45</v>
      </c>
      <c r="J90" t="s">
        <v>151</v>
      </c>
      <c r="K90">
        <v>1</v>
      </c>
    </row>
    <row r="91" spans="2:12" x14ac:dyDescent="0.2">
      <c r="B91" t="s">
        <v>645</v>
      </c>
      <c r="C91" s="74" t="s">
        <v>268</v>
      </c>
      <c r="D91" s="88">
        <v>45061</v>
      </c>
      <c r="E91" t="s">
        <v>553</v>
      </c>
      <c r="F91" t="s">
        <v>90</v>
      </c>
      <c r="G91" s="78" t="s">
        <v>96</v>
      </c>
      <c r="H91" t="s">
        <v>546</v>
      </c>
      <c r="I91" t="s">
        <v>45</v>
      </c>
      <c r="J91" t="s">
        <v>152</v>
      </c>
      <c r="K91">
        <v>1</v>
      </c>
    </row>
    <row r="92" spans="2:12" x14ac:dyDescent="0.2">
      <c r="B92" t="s">
        <v>713</v>
      </c>
      <c r="C92" s="74" t="s">
        <v>269</v>
      </c>
      <c r="D92" s="88">
        <v>45061</v>
      </c>
      <c r="E92" t="s">
        <v>553</v>
      </c>
      <c r="F92" t="s">
        <v>90</v>
      </c>
      <c r="G92" s="78" t="s">
        <v>96</v>
      </c>
      <c r="H92" t="s">
        <v>546</v>
      </c>
      <c r="I92" t="s">
        <v>45</v>
      </c>
      <c r="J92" t="s">
        <v>151</v>
      </c>
      <c r="K92">
        <v>2</v>
      </c>
    </row>
    <row r="93" spans="2:12" x14ac:dyDescent="0.2">
      <c r="B93" t="s">
        <v>714</v>
      </c>
      <c r="C93" s="74" t="s">
        <v>270</v>
      </c>
      <c r="D93" s="88">
        <v>45061</v>
      </c>
      <c r="E93" t="s">
        <v>553</v>
      </c>
      <c r="F93" t="s">
        <v>90</v>
      </c>
      <c r="G93" s="78" t="s">
        <v>96</v>
      </c>
      <c r="H93" t="s">
        <v>546</v>
      </c>
      <c r="I93" t="s">
        <v>45</v>
      </c>
      <c r="J93" t="s">
        <v>152</v>
      </c>
      <c r="K93">
        <v>2</v>
      </c>
    </row>
    <row r="94" spans="2:12" x14ac:dyDescent="0.2">
      <c r="B94" t="s">
        <v>715</v>
      </c>
      <c r="C94" s="74" t="s">
        <v>271</v>
      </c>
      <c r="D94" s="88">
        <v>45061</v>
      </c>
      <c r="E94" t="s">
        <v>553</v>
      </c>
      <c r="F94" t="s">
        <v>90</v>
      </c>
      <c r="G94" s="78" t="s">
        <v>96</v>
      </c>
      <c r="H94" t="s">
        <v>546</v>
      </c>
      <c r="I94" t="s">
        <v>45</v>
      </c>
      <c r="J94" t="s">
        <v>151</v>
      </c>
      <c r="K94">
        <v>3</v>
      </c>
    </row>
    <row r="95" spans="2:12" x14ac:dyDescent="0.2">
      <c r="B95" t="s">
        <v>716</v>
      </c>
      <c r="C95" s="74" t="s">
        <v>272</v>
      </c>
      <c r="D95" s="88">
        <v>45061</v>
      </c>
      <c r="E95" t="s">
        <v>553</v>
      </c>
      <c r="F95" t="s">
        <v>90</v>
      </c>
      <c r="G95" s="78" t="s">
        <v>96</v>
      </c>
      <c r="H95" t="s">
        <v>546</v>
      </c>
      <c r="I95" t="s">
        <v>45</v>
      </c>
      <c r="J95" t="s">
        <v>152</v>
      </c>
      <c r="K95">
        <v>3</v>
      </c>
    </row>
    <row r="96" spans="2:12" x14ac:dyDescent="0.2">
      <c r="B96" t="s">
        <v>696</v>
      </c>
      <c r="C96" s="74" t="s">
        <v>273</v>
      </c>
      <c r="D96" s="88">
        <v>45061</v>
      </c>
      <c r="E96" t="s">
        <v>553</v>
      </c>
      <c r="F96" t="s">
        <v>90</v>
      </c>
      <c r="G96" s="78" t="s">
        <v>96</v>
      </c>
      <c r="H96" t="s">
        <v>546</v>
      </c>
      <c r="I96" t="s">
        <v>62</v>
      </c>
      <c r="J96" t="s">
        <v>151</v>
      </c>
      <c r="K96">
        <v>1</v>
      </c>
    </row>
    <row r="97" spans="2:11" x14ac:dyDescent="0.2">
      <c r="B97" t="s">
        <v>697</v>
      </c>
      <c r="C97" s="74" t="s">
        <v>274</v>
      </c>
      <c r="D97" s="88">
        <v>45061</v>
      </c>
      <c r="E97" t="s">
        <v>553</v>
      </c>
      <c r="F97" t="s">
        <v>90</v>
      </c>
      <c r="G97" s="78" t="s">
        <v>96</v>
      </c>
      <c r="H97" t="s">
        <v>546</v>
      </c>
      <c r="I97" t="s">
        <v>62</v>
      </c>
      <c r="J97" t="s">
        <v>152</v>
      </c>
      <c r="K97">
        <v>1</v>
      </c>
    </row>
    <row r="98" spans="2:11" x14ac:dyDescent="0.2">
      <c r="B98" t="s">
        <v>717</v>
      </c>
      <c r="C98" s="74" t="s">
        <v>275</v>
      </c>
      <c r="D98" s="88">
        <v>45061</v>
      </c>
      <c r="E98" t="s">
        <v>553</v>
      </c>
      <c r="F98" t="s">
        <v>90</v>
      </c>
      <c r="G98" s="78" t="s">
        <v>96</v>
      </c>
      <c r="H98" t="s">
        <v>546</v>
      </c>
      <c r="I98" t="s">
        <v>62</v>
      </c>
      <c r="J98" t="s">
        <v>151</v>
      </c>
      <c r="K98">
        <v>2</v>
      </c>
    </row>
    <row r="99" spans="2:11" x14ac:dyDescent="0.2">
      <c r="B99" t="s">
        <v>718</v>
      </c>
      <c r="C99" s="74" t="s">
        <v>276</v>
      </c>
      <c r="D99" s="88">
        <v>45061</v>
      </c>
      <c r="E99" t="s">
        <v>553</v>
      </c>
      <c r="F99" t="s">
        <v>90</v>
      </c>
      <c r="G99" s="78" t="s">
        <v>96</v>
      </c>
      <c r="H99" t="s">
        <v>546</v>
      </c>
      <c r="I99" t="s">
        <v>62</v>
      </c>
      <c r="J99" t="s">
        <v>152</v>
      </c>
      <c r="K99">
        <v>2</v>
      </c>
    </row>
    <row r="100" spans="2:11" x14ac:dyDescent="0.2">
      <c r="B100" t="s">
        <v>719</v>
      </c>
      <c r="C100" s="74" t="s">
        <v>277</v>
      </c>
      <c r="D100" s="88">
        <v>45061</v>
      </c>
      <c r="E100" t="s">
        <v>553</v>
      </c>
      <c r="F100" t="s">
        <v>90</v>
      </c>
      <c r="G100" s="78" t="s">
        <v>96</v>
      </c>
      <c r="H100" t="s">
        <v>546</v>
      </c>
      <c r="I100" t="s">
        <v>62</v>
      </c>
      <c r="J100" t="s">
        <v>151</v>
      </c>
      <c r="K100">
        <v>3</v>
      </c>
    </row>
    <row r="101" spans="2:11" x14ac:dyDescent="0.2">
      <c r="B101" t="s">
        <v>720</v>
      </c>
      <c r="C101" s="74" t="s">
        <v>278</v>
      </c>
      <c r="D101" s="88">
        <v>45061</v>
      </c>
      <c r="E101" t="s">
        <v>553</v>
      </c>
      <c r="F101" t="s">
        <v>90</v>
      </c>
      <c r="G101" s="78" t="s">
        <v>96</v>
      </c>
      <c r="H101" t="s">
        <v>546</v>
      </c>
      <c r="I101" t="s">
        <v>62</v>
      </c>
      <c r="J101" t="s">
        <v>152</v>
      </c>
      <c r="K101">
        <v>3</v>
      </c>
    </row>
    <row r="102" spans="2:11" x14ac:dyDescent="0.2">
      <c r="B102" t="s">
        <v>721</v>
      </c>
      <c r="C102" s="74" t="s">
        <v>279</v>
      </c>
      <c r="D102" s="88">
        <v>45069</v>
      </c>
      <c r="E102" t="s">
        <v>553</v>
      </c>
      <c r="F102" t="s">
        <v>549</v>
      </c>
      <c r="G102" s="79" t="s">
        <v>22</v>
      </c>
      <c r="H102" t="s">
        <v>547</v>
      </c>
      <c r="I102" t="s">
        <v>43</v>
      </c>
      <c r="J102" t="s">
        <v>151</v>
      </c>
      <c r="K102">
        <v>1</v>
      </c>
    </row>
    <row r="103" spans="2:11" x14ac:dyDescent="0.2">
      <c r="B103" t="s">
        <v>722</v>
      </c>
      <c r="C103" s="74" t="s">
        <v>280</v>
      </c>
      <c r="D103" s="88">
        <v>45069</v>
      </c>
      <c r="E103" t="s">
        <v>553</v>
      </c>
      <c r="F103" t="s">
        <v>549</v>
      </c>
      <c r="G103" s="79" t="s">
        <v>22</v>
      </c>
      <c r="H103" t="s">
        <v>547</v>
      </c>
      <c r="I103" t="s">
        <v>43</v>
      </c>
      <c r="J103" t="s">
        <v>152</v>
      </c>
      <c r="K103">
        <v>1</v>
      </c>
    </row>
    <row r="104" spans="2:11" x14ac:dyDescent="0.2">
      <c r="B104" t="s">
        <v>725</v>
      </c>
      <c r="C104" s="74" t="s">
        <v>281</v>
      </c>
      <c r="D104" s="88">
        <v>45069</v>
      </c>
      <c r="E104" t="s">
        <v>553</v>
      </c>
      <c r="F104" t="s">
        <v>549</v>
      </c>
      <c r="G104" s="79" t="s">
        <v>22</v>
      </c>
      <c r="H104" t="s">
        <v>547</v>
      </c>
      <c r="I104" t="s">
        <v>43</v>
      </c>
      <c r="J104" t="s">
        <v>151</v>
      </c>
      <c r="K104">
        <v>2</v>
      </c>
    </row>
    <row r="105" spans="2:11" x14ac:dyDescent="0.2">
      <c r="B105" t="s">
        <v>726</v>
      </c>
      <c r="C105" s="74" t="s">
        <v>282</v>
      </c>
      <c r="D105" s="88">
        <v>45069</v>
      </c>
      <c r="E105" t="s">
        <v>553</v>
      </c>
      <c r="F105" t="s">
        <v>549</v>
      </c>
      <c r="G105" s="79" t="s">
        <v>22</v>
      </c>
      <c r="H105" t="s">
        <v>547</v>
      </c>
      <c r="I105" t="s">
        <v>43</v>
      </c>
      <c r="J105" t="s">
        <v>152</v>
      </c>
      <c r="K105">
        <v>2</v>
      </c>
    </row>
    <row r="106" spans="2:11" x14ac:dyDescent="0.2">
      <c r="B106" t="s">
        <v>727</v>
      </c>
      <c r="C106" s="74" t="s">
        <v>283</v>
      </c>
      <c r="D106" s="88">
        <v>45069</v>
      </c>
      <c r="E106" t="s">
        <v>553</v>
      </c>
      <c r="F106" t="s">
        <v>549</v>
      </c>
      <c r="G106" s="79" t="s">
        <v>22</v>
      </c>
      <c r="H106" t="s">
        <v>547</v>
      </c>
      <c r="I106" t="s">
        <v>43</v>
      </c>
      <c r="J106" t="s">
        <v>151</v>
      </c>
      <c r="K106">
        <v>3</v>
      </c>
    </row>
    <row r="107" spans="2:11" x14ac:dyDescent="0.2">
      <c r="B107" t="s">
        <v>728</v>
      </c>
      <c r="C107" s="74" t="s">
        <v>284</v>
      </c>
      <c r="D107" s="88">
        <v>45069</v>
      </c>
      <c r="E107" t="s">
        <v>553</v>
      </c>
      <c r="F107" t="s">
        <v>549</v>
      </c>
      <c r="G107" s="79" t="s">
        <v>22</v>
      </c>
      <c r="H107" t="s">
        <v>547</v>
      </c>
      <c r="I107" t="s">
        <v>43</v>
      </c>
      <c r="J107" t="s">
        <v>152</v>
      </c>
      <c r="K107">
        <v>3</v>
      </c>
    </row>
    <row r="108" spans="2:11" x14ac:dyDescent="0.2">
      <c r="B108" t="s">
        <v>729</v>
      </c>
      <c r="C108" s="74" t="s">
        <v>285</v>
      </c>
      <c r="D108" s="88">
        <v>45069</v>
      </c>
      <c r="E108" t="s">
        <v>553</v>
      </c>
      <c r="F108" t="s">
        <v>549</v>
      </c>
      <c r="G108" s="79" t="s">
        <v>22</v>
      </c>
      <c r="H108" t="s">
        <v>547</v>
      </c>
      <c r="I108" t="s">
        <v>74</v>
      </c>
      <c r="J108" t="s">
        <v>151</v>
      </c>
      <c r="K108">
        <v>1</v>
      </c>
    </row>
    <row r="109" spans="2:11" x14ac:dyDescent="0.2">
      <c r="B109" t="s">
        <v>730</v>
      </c>
      <c r="C109" s="74" t="s">
        <v>286</v>
      </c>
      <c r="D109" s="88">
        <v>45069</v>
      </c>
      <c r="E109" t="s">
        <v>553</v>
      </c>
      <c r="F109" t="s">
        <v>549</v>
      </c>
      <c r="G109" s="79" t="s">
        <v>22</v>
      </c>
      <c r="H109" t="s">
        <v>547</v>
      </c>
      <c r="I109" t="s">
        <v>74</v>
      </c>
      <c r="J109" t="s">
        <v>152</v>
      </c>
      <c r="K109">
        <v>1</v>
      </c>
    </row>
    <row r="110" spans="2:11" x14ac:dyDescent="0.2">
      <c r="B110" t="s">
        <v>733</v>
      </c>
      <c r="C110" s="74" t="s">
        <v>287</v>
      </c>
      <c r="D110" s="88">
        <v>45069</v>
      </c>
      <c r="E110" t="s">
        <v>553</v>
      </c>
      <c r="F110" t="s">
        <v>549</v>
      </c>
      <c r="G110" s="79" t="s">
        <v>22</v>
      </c>
      <c r="H110" t="s">
        <v>547</v>
      </c>
      <c r="I110" t="s">
        <v>74</v>
      </c>
      <c r="J110" t="s">
        <v>151</v>
      </c>
      <c r="K110">
        <v>2</v>
      </c>
    </row>
    <row r="111" spans="2:11" x14ac:dyDescent="0.2">
      <c r="B111" t="s">
        <v>734</v>
      </c>
      <c r="C111" s="74" t="s">
        <v>288</v>
      </c>
      <c r="D111" s="88">
        <v>45069</v>
      </c>
      <c r="E111" t="s">
        <v>553</v>
      </c>
      <c r="F111" t="s">
        <v>549</v>
      </c>
      <c r="G111" s="79" t="s">
        <v>22</v>
      </c>
      <c r="H111" t="s">
        <v>547</v>
      </c>
      <c r="I111" t="s">
        <v>74</v>
      </c>
      <c r="J111" t="s">
        <v>152</v>
      </c>
      <c r="K111">
        <v>2</v>
      </c>
    </row>
    <row r="112" spans="2:11" x14ac:dyDescent="0.2">
      <c r="B112" t="s">
        <v>735</v>
      </c>
      <c r="C112" s="74" t="s">
        <v>289</v>
      </c>
      <c r="D112" s="88">
        <v>45069</v>
      </c>
      <c r="E112" t="s">
        <v>553</v>
      </c>
      <c r="F112" t="s">
        <v>549</v>
      </c>
      <c r="G112" s="79" t="s">
        <v>22</v>
      </c>
      <c r="H112" t="s">
        <v>547</v>
      </c>
      <c r="I112" t="s">
        <v>74</v>
      </c>
      <c r="J112" t="s">
        <v>151</v>
      </c>
      <c r="K112">
        <v>3</v>
      </c>
    </row>
    <row r="113" spans="2:11" x14ac:dyDescent="0.2">
      <c r="B113" t="s">
        <v>736</v>
      </c>
      <c r="C113" s="74" t="s">
        <v>290</v>
      </c>
      <c r="D113" s="88">
        <v>45069</v>
      </c>
      <c r="E113" t="s">
        <v>553</v>
      </c>
      <c r="F113" t="s">
        <v>549</v>
      </c>
      <c r="G113" s="79" t="s">
        <v>22</v>
      </c>
      <c r="H113" t="s">
        <v>547</v>
      </c>
      <c r="I113" t="s">
        <v>74</v>
      </c>
      <c r="J113" t="s">
        <v>152</v>
      </c>
      <c r="K113">
        <v>3</v>
      </c>
    </row>
    <row r="114" spans="2:11" x14ac:dyDescent="0.2">
      <c r="B114" t="s">
        <v>737</v>
      </c>
      <c r="C114" s="74" t="s">
        <v>291</v>
      </c>
      <c r="D114" s="88">
        <v>45069</v>
      </c>
      <c r="E114" t="s">
        <v>553</v>
      </c>
      <c r="F114" t="s">
        <v>549</v>
      </c>
      <c r="G114" s="79" t="s">
        <v>22</v>
      </c>
      <c r="H114" t="s">
        <v>547</v>
      </c>
      <c r="I114" t="s">
        <v>51</v>
      </c>
      <c r="J114" t="s">
        <v>151</v>
      </c>
      <c r="K114">
        <v>1</v>
      </c>
    </row>
    <row r="115" spans="2:11" x14ac:dyDescent="0.2">
      <c r="B115" t="s">
        <v>738</v>
      </c>
      <c r="C115" s="74" t="s">
        <v>292</v>
      </c>
      <c r="D115" s="88">
        <v>45069</v>
      </c>
      <c r="E115" t="s">
        <v>553</v>
      </c>
      <c r="F115" t="s">
        <v>549</v>
      </c>
      <c r="G115" s="79" t="s">
        <v>22</v>
      </c>
      <c r="H115" t="s">
        <v>547</v>
      </c>
      <c r="I115" t="s">
        <v>51</v>
      </c>
      <c r="J115" t="s">
        <v>152</v>
      </c>
      <c r="K115">
        <v>1</v>
      </c>
    </row>
    <row r="116" spans="2:11" x14ac:dyDescent="0.2">
      <c r="B116" t="s">
        <v>741</v>
      </c>
      <c r="C116" s="74" t="s">
        <v>293</v>
      </c>
      <c r="D116" s="88">
        <v>45069</v>
      </c>
      <c r="E116" t="s">
        <v>553</v>
      </c>
      <c r="F116" t="s">
        <v>549</v>
      </c>
      <c r="G116" s="79" t="s">
        <v>22</v>
      </c>
      <c r="H116" t="s">
        <v>547</v>
      </c>
      <c r="I116" t="s">
        <v>51</v>
      </c>
      <c r="J116" t="s">
        <v>151</v>
      </c>
      <c r="K116">
        <v>2</v>
      </c>
    </row>
    <row r="117" spans="2:11" x14ac:dyDescent="0.2">
      <c r="B117" t="s">
        <v>742</v>
      </c>
      <c r="C117" s="74" t="s">
        <v>294</v>
      </c>
      <c r="D117" s="88">
        <v>45069</v>
      </c>
      <c r="E117" t="s">
        <v>553</v>
      </c>
      <c r="F117" t="s">
        <v>549</v>
      </c>
      <c r="G117" s="79" t="s">
        <v>22</v>
      </c>
      <c r="H117" t="s">
        <v>547</v>
      </c>
      <c r="I117" t="s">
        <v>51</v>
      </c>
      <c r="J117" t="s">
        <v>152</v>
      </c>
      <c r="K117">
        <v>2</v>
      </c>
    </row>
    <row r="118" spans="2:11" x14ac:dyDescent="0.2">
      <c r="B118" t="s">
        <v>743</v>
      </c>
      <c r="C118" s="74" t="s">
        <v>295</v>
      </c>
      <c r="D118" s="88">
        <v>45069</v>
      </c>
      <c r="E118" t="s">
        <v>553</v>
      </c>
      <c r="F118" t="s">
        <v>549</v>
      </c>
      <c r="G118" s="79" t="s">
        <v>22</v>
      </c>
      <c r="H118" t="s">
        <v>547</v>
      </c>
      <c r="I118" t="s">
        <v>51</v>
      </c>
      <c r="J118" t="s">
        <v>151</v>
      </c>
      <c r="K118">
        <v>3</v>
      </c>
    </row>
    <row r="119" spans="2:11" x14ac:dyDescent="0.2">
      <c r="B119" t="s">
        <v>744</v>
      </c>
      <c r="C119" s="74" t="s">
        <v>296</v>
      </c>
      <c r="D119" s="88">
        <v>45069</v>
      </c>
      <c r="E119" t="s">
        <v>553</v>
      </c>
      <c r="F119" t="s">
        <v>549</v>
      </c>
      <c r="G119" s="79" t="s">
        <v>22</v>
      </c>
      <c r="H119" t="s">
        <v>547</v>
      </c>
      <c r="I119" t="s">
        <v>51</v>
      </c>
      <c r="J119" t="s">
        <v>152</v>
      </c>
      <c r="K119">
        <v>3</v>
      </c>
    </row>
    <row r="120" spans="2:11" x14ac:dyDescent="0.2">
      <c r="B120" t="s">
        <v>648</v>
      </c>
      <c r="C120" s="74" t="s">
        <v>297</v>
      </c>
      <c r="D120" s="88">
        <v>45069</v>
      </c>
      <c r="E120" t="s">
        <v>553</v>
      </c>
      <c r="F120" t="s">
        <v>549</v>
      </c>
      <c r="G120" s="79" t="s">
        <v>22</v>
      </c>
      <c r="H120" t="s">
        <v>547</v>
      </c>
      <c r="I120" t="s">
        <v>60</v>
      </c>
      <c r="J120" t="s">
        <v>151</v>
      </c>
      <c r="K120">
        <v>1</v>
      </c>
    </row>
    <row r="121" spans="2:11" x14ac:dyDescent="0.2">
      <c r="B121" t="s">
        <v>649</v>
      </c>
      <c r="C121" s="74" t="s">
        <v>298</v>
      </c>
      <c r="D121" s="88">
        <v>45069</v>
      </c>
      <c r="E121" t="s">
        <v>553</v>
      </c>
      <c r="F121" t="s">
        <v>549</v>
      </c>
      <c r="G121" s="79" t="s">
        <v>22</v>
      </c>
      <c r="H121" t="s">
        <v>547</v>
      </c>
      <c r="I121" t="s">
        <v>60</v>
      </c>
      <c r="J121" t="s">
        <v>152</v>
      </c>
      <c r="K121">
        <v>1</v>
      </c>
    </row>
    <row r="122" spans="2:11" x14ac:dyDescent="0.2">
      <c r="B122" t="s">
        <v>745</v>
      </c>
      <c r="C122" s="74" t="s">
        <v>299</v>
      </c>
      <c r="D122" s="88">
        <v>45069</v>
      </c>
      <c r="E122" t="s">
        <v>553</v>
      </c>
      <c r="F122" t="s">
        <v>549</v>
      </c>
      <c r="G122" s="79" t="s">
        <v>22</v>
      </c>
      <c r="H122" t="s">
        <v>547</v>
      </c>
      <c r="I122" t="s">
        <v>60</v>
      </c>
      <c r="J122" t="s">
        <v>151</v>
      </c>
      <c r="K122">
        <v>2</v>
      </c>
    </row>
    <row r="123" spans="2:11" x14ac:dyDescent="0.2">
      <c r="B123" t="s">
        <v>746</v>
      </c>
      <c r="C123" s="74" t="s">
        <v>300</v>
      </c>
      <c r="D123" s="88">
        <v>45069</v>
      </c>
      <c r="E123" t="s">
        <v>553</v>
      </c>
      <c r="F123" t="s">
        <v>549</v>
      </c>
      <c r="G123" s="79" t="s">
        <v>22</v>
      </c>
      <c r="H123" t="s">
        <v>547</v>
      </c>
      <c r="I123" t="s">
        <v>60</v>
      </c>
      <c r="J123" t="s">
        <v>152</v>
      </c>
      <c r="K123">
        <v>2</v>
      </c>
    </row>
    <row r="124" spans="2:11" x14ac:dyDescent="0.2">
      <c r="B124" t="s">
        <v>747</v>
      </c>
      <c r="C124" s="74" t="s">
        <v>301</v>
      </c>
      <c r="D124" s="88">
        <v>45069</v>
      </c>
      <c r="E124" t="s">
        <v>553</v>
      </c>
      <c r="F124" t="s">
        <v>549</v>
      </c>
      <c r="G124" s="79" t="s">
        <v>22</v>
      </c>
      <c r="H124" t="s">
        <v>547</v>
      </c>
      <c r="I124" t="s">
        <v>60</v>
      </c>
      <c r="J124" t="s">
        <v>151</v>
      </c>
      <c r="K124">
        <v>3</v>
      </c>
    </row>
    <row r="125" spans="2:11" x14ac:dyDescent="0.2">
      <c r="B125" t="s">
        <v>748</v>
      </c>
      <c r="C125" s="74" t="s">
        <v>302</v>
      </c>
      <c r="D125" s="88">
        <v>45069</v>
      </c>
      <c r="E125" t="s">
        <v>553</v>
      </c>
      <c r="F125" t="s">
        <v>549</v>
      </c>
      <c r="G125" s="79" t="s">
        <v>22</v>
      </c>
      <c r="H125" t="s">
        <v>547</v>
      </c>
      <c r="I125" t="s">
        <v>60</v>
      </c>
      <c r="J125" t="s">
        <v>152</v>
      </c>
      <c r="K125">
        <v>3</v>
      </c>
    </row>
    <row r="126" spans="2:11" x14ac:dyDescent="0.2">
      <c r="B126" t="s">
        <v>652</v>
      </c>
      <c r="C126" s="74" t="s">
        <v>303</v>
      </c>
      <c r="D126" s="88">
        <v>45069</v>
      </c>
      <c r="E126" t="s">
        <v>553</v>
      </c>
      <c r="F126" t="s">
        <v>549</v>
      </c>
      <c r="G126" s="79" t="s">
        <v>22</v>
      </c>
      <c r="H126" t="s">
        <v>547</v>
      </c>
      <c r="I126" t="s">
        <v>36</v>
      </c>
      <c r="J126" t="s">
        <v>151</v>
      </c>
      <c r="K126">
        <v>1</v>
      </c>
    </row>
    <row r="127" spans="2:11" x14ac:dyDescent="0.2">
      <c r="B127" t="s">
        <v>653</v>
      </c>
      <c r="C127" s="74" t="s">
        <v>304</v>
      </c>
      <c r="D127" s="88">
        <v>45069</v>
      </c>
      <c r="E127" t="s">
        <v>553</v>
      </c>
      <c r="F127" t="s">
        <v>549</v>
      </c>
      <c r="G127" s="79" t="s">
        <v>22</v>
      </c>
      <c r="H127" t="s">
        <v>547</v>
      </c>
      <c r="I127" t="s">
        <v>36</v>
      </c>
      <c r="J127" t="s">
        <v>152</v>
      </c>
      <c r="K127">
        <v>1</v>
      </c>
    </row>
    <row r="128" spans="2:11" x14ac:dyDescent="0.2">
      <c r="B128" t="s">
        <v>749</v>
      </c>
      <c r="C128" s="74" t="s">
        <v>305</v>
      </c>
      <c r="D128" s="88">
        <v>45069</v>
      </c>
      <c r="E128" t="s">
        <v>553</v>
      </c>
      <c r="F128" t="s">
        <v>549</v>
      </c>
      <c r="G128" s="79" t="s">
        <v>22</v>
      </c>
      <c r="H128" t="s">
        <v>547</v>
      </c>
      <c r="I128" t="s">
        <v>36</v>
      </c>
      <c r="J128" t="s">
        <v>151</v>
      </c>
      <c r="K128">
        <v>2</v>
      </c>
    </row>
    <row r="129" spans="2:12" x14ac:dyDescent="0.2">
      <c r="B129" t="s">
        <v>750</v>
      </c>
      <c r="C129" s="74" t="s">
        <v>306</v>
      </c>
      <c r="D129" s="88">
        <v>45069</v>
      </c>
      <c r="E129" t="s">
        <v>553</v>
      </c>
      <c r="F129" t="s">
        <v>549</v>
      </c>
      <c r="G129" s="79" t="s">
        <v>22</v>
      </c>
      <c r="H129" t="s">
        <v>547</v>
      </c>
      <c r="I129" t="s">
        <v>36</v>
      </c>
      <c r="J129" t="s">
        <v>152</v>
      </c>
      <c r="K129">
        <v>2</v>
      </c>
    </row>
    <row r="130" spans="2:12" x14ac:dyDescent="0.2">
      <c r="B130" t="s">
        <v>751</v>
      </c>
      <c r="C130" s="74" t="s">
        <v>307</v>
      </c>
      <c r="D130" s="88">
        <v>45069</v>
      </c>
      <c r="E130" t="s">
        <v>553</v>
      </c>
      <c r="F130" t="s">
        <v>549</v>
      </c>
      <c r="G130" s="79" t="s">
        <v>22</v>
      </c>
      <c r="H130" t="s">
        <v>547</v>
      </c>
      <c r="I130" t="s">
        <v>36</v>
      </c>
      <c r="J130" t="s">
        <v>151</v>
      </c>
      <c r="K130">
        <v>3</v>
      </c>
    </row>
    <row r="131" spans="2:12" x14ac:dyDescent="0.2">
      <c r="B131" t="s">
        <v>752</v>
      </c>
      <c r="C131" s="74" t="s">
        <v>308</v>
      </c>
      <c r="D131" s="88">
        <v>45069</v>
      </c>
      <c r="E131" t="s">
        <v>553</v>
      </c>
      <c r="F131" t="s">
        <v>549</v>
      </c>
      <c r="G131" s="79" t="s">
        <v>22</v>
      </c>
      <c r="H131" t="s">
        <v>547</v>
      </c>
      <c r="I131" t="s">
        <v>36</v>
      </c>
      <c r="J131" t="s">
        <v>152</v>
      </c>
      <c r="K131">
        <v>3</v>
      </c>
    </row>
    <row r="132" spans="2:12" x14ac:dyDescent="0.2">
      <c r="B132" t="s">
        <v>656</v>
      </c>
      <c r="C132" s="74" t="s">
        <v>309</v>
      </c>
      <c r="D132" s="88">
        <v>45069</v>
      </c>
      <c r="E132" t="s">
        <v>553</v>
      </c>
      <c r="F132" t="s">
        <v>549</v>
      </c>
      <c r="G132" s="79" t="s">
        <v>22</v>
      </c>
      <c r="H132" t="s">
        <v>547</v>
      </c>
      <c r="I132" t="s">
        <v>34</v>
      </c>
      <c r="J132" t="s">
        <v>151</v>
      </c>
      <c r="K132">
        <v>1</v>
      </c>
    </row>
    <row r="133" spans="2:12" x14ac:dyDescent="0.2">
      <c r="B133" t="s">
        <v>657</v>
      </c>
      <c r="C133" s="74" t="s">
        <v>310</v>
      </c>
      <c r="D133" s="88">
        <v>45069</v>
      </c>
      <c r="E133" t="s">
        <v>553</v>
      </c>
      <c r="F133" t="s">
        <v>549</v>
      </c>
      <c r="G133" s="79" t="s">
        <v>22</v>
      </c>
      <c r="H133" t="s">
        <v>547</v>
      </c>
      <c r="I133" t="s">
        <v>34</v>
      </c>
      <c r="J133" t="s">
        <v>152</v>
      </c>
      <c r="K133">
        <v>1</v>
      </c>
    </row>
    <row r="134" spans="2:12" x14ac:dyDescent="0.2">
      <c r="B134" t="s">
        <v>753</v>
      </c>
      <c r="C134" s="74" t="s">
        <v>311</v>
      </c>
      <c r="D134" s="88">
        <v>45069</v>
      </c>
      <c r="E134" t="s">
        <v>553</v>
      </c>
      <c r="F134" t="s">
        <v>549</v>
      </c>
      <c r="G134" s="79" t="s">
        <v>22</v>
      </c>
      <c r="H134" t="s">
        <v>547</v>
      </c>
      <c r="I134" t="s">
        <v>34</v>
      </c>
      <c r="J134" t="s">
        <v>151</v>
      </c>
      <c r="K134">
        <v>2</v>
      </c>
    </row>
    <row r="135" spans="2:12" x14ac:dyDescent="0.2">
      <c r="B135" t="s">
        <v>754</v>
      </c>
      <c r="C135" s="74" t="s">
        <v>312</v>
      </c>
      <c r="D135" s="88">
        <v>45069</v>
      </c>
      <c r="E135" t="s">
        <v>553</v>
      </c>
      <c r="F135" t="s">
        <v>549</v>
      </c>
      <c r="G135" s="79" t="s">
        <v>22</v>
      </c>
      <c r="H135" t="s">
        <v>547</v>
      </c>
      <c r="I135" t="s">
        <v>34</v>
      </c>
      <c r="J135" t="s">
        <v>152</v>
      </c>
      <c r="K135">
        <v>2</v>
      </c>
    </row>
    <row r="136" spans="2:12" x14ac:dyDescent="0.2">
      <c r="B136" t="s">
        <v>755</v>
      </c>
      <c r="C136" s="74" t="s">
        <v>313</v>
      </c>
      <c r="D136" s="88">
        <v>45069</v>
      </c>
      <c r="E136" t="s">
        <v>553</v>
      </c>
      <c r="F136" t="s">
        <v>549</v>
      </c>
      <c r="G136" s="79" t="s">
        <v>22</v>
      </c>
      <c r="H136" t="s">
        <v>547</v>
      </c>
      <c r="I136" t="s">
        <v>34</v>
      </c>
      <c r="J136" t="s">
        <v>151</v>
      </c>
      <c r="K136">
        <v>3</v>
      </c>
    </row>
    <row r="137" spans="2:12" x14ac:dyDescent="0.2">
      <c r="B137" t="s">
        <v>756</v>
      </c>
      <c r="C137" s="74" t="s">
        <v>314</v>
      </c>
      <c r="D137" s="88">
        <v>45069</v>
      </c>
      <c r="E137" t="s">
        <v>553</v>
      </c>
      <c r="F137" t="s">
        <v>549</v>
      </c>
      <c r="G137" s="79" t="s">
        <v>22</v>
      </c>
      <c r="H137" t="s">
        <v>547</v>
      </c>
      <c r="I137" t="s">
        <v>34</v>
      </c>
      <c r="J137" t="s">
        <v>152</v>
      </c>
      <c r="K137">
        <v>3</v>
      </c>
    </row>
    <row r="138" spans="2:12" x14ac:dyDescent="0.2">
      <c r="B138" t="s">
        <v>757</v>
      </c>
      <c r="C138" s="74" t="s">
        <v>315</v>
      </c>
      <c r="D138" s="88">
        <v>45071</v>
      </c>
      <c r="E138" t="s">
        <v>553</v>
      </c>
      <c r="F138" t="s">
        <v>552</v>
      </c>
      <c r="G138" s="75" t="s">
        <v>95</v>
      </c>
      <c r="H138" t="s">
        <v>543</v>
      </c>
      <c r="I138" t="s">
        <v>43</v>
      </c>
      <c r="J138" t="s">
        <v>152</v>
      </c>
      <c r="K138">
        <v>1</v>
      </c>
    </row>
    <row r="139" spans="2:12" x14ac:dyDescent="0.2">
      <c r="B139" t="s">
        <v>760</v>
      </c>
      <c r="C139" s="74" t="s">
        <v>316</v>
      </c>
      <c r="D139" s="88">
        <v>45071</v>
      </c>
      <c r="E139" t="s">
        <v>553</v>
      </c>
      <c r="F139" t="s">
        <v>552</v>
      </c>
      <c r="G139" s="75" t="s">
        <v>95</v>
      </c>
      <c r="H139" t="s">
        <v>543</v>
      </c>
      <c r="I139" t="s">
        <v>43</v>
      </c>
      <c r="J139" t="s">
        <v>152</v>
      </c>
      <c r="K139">
        <v>2</v>
      </c>
    </row>
    <row r="140" spans="2:12" x14ac:dyDescent="0.2">
      <c r="B140" t="s">
        <v>761</v>
      </c>
      <c r="C140" s="74" t="s">
        <v>317</v>
      </c>
      <c r="D140" s="88">
        <v>45071</v>
      </c>
      <c r="E140" t="s">
        <v>553</v>
      </c>
      <c r="F140" t="s">
        <v>552</v>
      </c>
      <c r="G140" s="75" t="s">
        <v>95</v>
      </c>
      <c r="H140" t="s">
        <v>543</v>
      </c>
      <c r="I140" t="s">
        <v>43</v>
      </c>
      <c r="J140" t="s">
        <v>152</v>
      </c>
      <c r="K140">
        <v>3</v>
      </c>
    </row>
    <row r="141" spans="2:12" x14ac:dyDescent="0.2">
      <c r="B141" t="s">
        <v>762</v>
      </c>
      <c r="C141" s="74" t="s">
        <v>318</v>
      </c>
      <c r="D141" s="88">
        <v>45071</v>
      </c>
      <c r="E141" t="s">
        <v>553</v>
      </c>
      <c r="F141" t="s">
        <v>552</v>
      </c>
      <c r="G141" s="75" t="s">
        <v>95</v>
      </c>
      <c r="H141" t="s">
        <v>543</v>
      </c>
      <c r="I141" t="s">
        <v>51</v>
      </c>
      <c r="J141" t="s">
        <v>152</v>
      </c>
      <c r="K141">
        <v>1</v>
      </c>
      <c r="L141" t="s">
        <v>923</v>
      </c>
    </row>
    <row r="142" spans="2:12" x14ac:dyDescent="0.2">
      <c r="B142" t="s">
        <v>765</v>
      </c>
      <c r="C142" s="74" t="s">
        <v>319</v>
      </c>
      <c r="D142" s="88">
        <v>45071</v>
      </c>
      <c r="E142" t="s">
        <v>553</v>
      </c>
      <c r="F142" t="s">
        <v>552</v>
      </c>
      <c r="G142" s="75" t="s">
        <v>95</v>
      </c>
      <c r="H142" t="s">
        <v>543</v>
      </c>
      <c r="I142" t="s">
        <v>51</v>
      </c>
      <c r="J142" t="s">
        <v>152</v>
      </c>
      <c r="K142">
        <v>2</v>
      </c>
    </row>
    <row r="143" spans="2:12" x14ac:dyDescent="0.2">
      <c r="B143" t="s">
        <v>766</v>
      </c>
      <c r="C143" s="74" t="s">
        <v>320</v>
      </c>
      <c r="D143" s="88">
        <v>45071</v>
      </c>
      <c r="E143" t="s">
        <v>553</v>
      </c>
      <c r="F143" t="s">
        <v>552</v>
      </c>
      <c r="G143" s="75" t="s">
        <v>95</v>
      </c>
      <c r="H143" t="s">
        <v>543</v>
      </c>
      <c r="I143" t="s">
        <v>51</v>
      </c>
      <c r="J143" t="s">
        <v>152</v>
      </c>
      <c r="K143">
        <v>3</v>
      </c>
      <c r="L143" t="s">
        <v>923</v>
      </c>
    </row>
    <row r="144" spans="2:12" x14ac:dyDescent="0.2">
      <c r="B144" t="s">
        <v>660</v>
      </c>
      <c r="C144" s="74" t="s">
        <v>321</v>
      </c>
      <c r="D144" s="88">
        <v>45071</v>
      </c>
      <c r="E144" t="s">
        <v>553</v>
      </c>
      <c r="F144" t="s">
        <v>552</v>
      </c>
      <c r="G144" s="75" t="s">
        <v>95</v>
      </c>
      <c r="H144" t="s">
        <v>543</v>
      </c>
      <c r="I144" t="s">
        <v>60</v>
      </c>
      <c r="J144" t="s">
        <v>152</v>
      </c>
      <c r="K144">
        <v>1</v>
      </c>
    </row>
    <row r="145" spans="2:12" x14ac:dyDescent="0.2">
      <c r="B145" t="s">
        <v>767</v>
      </c>
      <c r="C145" s="74" t="s">
        <v>322</v>
      </c>
      <c r="D145" s="88">
        <v>45071</v>
      </c>
      <c r="E145" t="s">
        <v>553</v>
      </c>
      <c r="F145" t="s">
        <v>552</v>
      </c>
      <c r="G145" s="75" t="s">
        <v>95</v>
      </c>
      <c r="H145" t="s">
        <v>543</v>
      </c>
      <c r="I145" t="s">
        <v>60</v>
      </c>
      <c r="J145" t="s">
        <v>152</v>
      </c>
      <c r="K145">
        <v>2</v>
      </c>
    </row>
    <row r="146" spans="2:12" x14ac:dyDescent="0.2">
      <c r="B146" t="s">
        <v>768</v>
      </c>
      <c r="C146" s="74" t="s">
        <v>323</v>
      </c>
      <c r="D146" s="88">
        <v>45071</v>
      </c>
      <c r="E146" t="s">
        <v>553</v>
      </c>
      <c r="F146" t="s">
        <v>552</v>
      </c>
      <c r="G146" s="75" t="s">
        <v>95</v>
      </c>
      <c r="H146" t="s">
        <v>543</v>
      </c>
      <c r="I146" t="s">
        <v>60</v>
      </c>
      <c r="J146" t="s">
        <v>152</v>
      </c>
      <c r="K146">
        <v>3</v>
      </c>
    </row>
    <row r="147" spans="2:12" x14ac:dyDescent="0.2">
      <c r="B147" t="s">
        <v>663</v>
      </c>
      <c r="C147" s="74" t="s">
        <v>324</v>
      </c>
      <c r="D147" s="88">
        <v>45071</v>
      </c>
      <c r="E147" t="s">
        <v>553</v>
      </c>
      <c r="F147" t="s">
        <v>552</v>
      </c>
      <c r="G147" s="75" t="s">
        <v>95</v>
      </c>
      <c r="H147" t="s">
        <v>543</v>
      </c>
      <c r="I147" t="s">
        <v>36</v>
      </c>
      <c r="J147" t="s">
        <v>152</v>
      </c>
      <c r="K147">
        <v>1</v>
      </c>
      <c r="L147" t="s">
        <v>922</v>
      </c>
    </row>
    <row r="148" spans="2:12" x14ac:dyDescent="0.2">
      <c r="B148" t="s">
        <v>769</v>
      </c>
      <c r="C148" s="74" t="s">
        <v>325</v>
      </c>
      <c r="D148" s="88">
        <v>45071</v>
      </c>
      <c r="E148" t="s">
        <v>553</v>
      </c>
      <c r="F148" t="s">
        <v>552</v>
      </c>
      <c r="G148" s="75" t="s">
        <v>95</v>
      </c>
      <c r="H148" t="s">
        <v>543</v>
      </c>
      <c r="I148" t="s">
        <v>36</v>
      </c>
      <c r="J148" t="s">
        <v>152</v>
      </c>
      <c r="K148">
        <v>2</v>
      </c>
      <c r="L148" t="s">
        <v>922</v>
      </c>
    </row>
    <row r="149" spans="2:12" x14ac:dyDescent="0.2">
      <c r="B149" t="s">
        <v>770</v>
      </c>
      <c r="C149" s="74" t="s">
        <v>326</v>
      </c>
      <c r="D149" s="88">
        <v>45071</v>
      </c>
      <c r="E149" t="s">
        <v>553</v>
      </c>
      <c r="F149" t="s">
        <v>552</v>
      </c>
      <c r="G149" s="75" t="s">
        <v>95</v>
      </c>
      <c r="H149" t="s">
        <v>543</v>
      </c>
      <c r="I149" t="s">
        <v>36</v>
      </c>
      <c r="J149" t="s">
        <v>152</v>
      </c>
      <c r="K149">
        <v>3</v>
      </c>
      <c r="L149" t="s">
        <v>922</v>
      </c>
    </row>
    <row r="150" spans="2:12" x14ac:dyDescent="0.2">
      <c r="B150" t="s">
        <v>666</v>
      </c>
      <c r="C150" s="74" t="s">
        <v>327</v>
      </c>
      <c r="D150" s="88">
        <v>45071</v>
      </c>
      <c r="E150" t="s">
        <v>553</v>
      </c>
      <c r="F150" t="s">
        <v>552</v>
      </c>
      <c r="G150" s="75" t="s">
        <v>95</v>
      </c>
      <c r="H150" t="s">
        <v>543</v>
      </c>
      <c r="I150" t="s">
        <v>45</v>
      </c>
      <c r="J150" t="s">
        <v>152</v>
      </c>
      <c r="K150">
        <v>1</v>
      </c>
    </row>
    <row r="151" spans="2:12" x14ac:dyDescent="0.2">
      <c r="B151" t="s">
        <v>771</v>
      </c>
      <c r="C151" s="74" t="s">
        <v>328</v>
      </c>
      <c r="D151" s="88">
        <v>45071</v>
      </c>
      <c r="E151" t="s">
        <v>553</v>
      </c>
      <c r="F151" t="s">
        <v>552</v>
      </c>
      <c r="G151" s="75" t="s">
        <v>95</v>
      </c>
      <c r="H151" t="s">
        <v>543</v>
      </c>
      <c r="I151" t="s">
        <v>45</v>
      </c>
      <c r="J151" t="s">
        <v>152</v>
      </c>
      <c r="K151">
        <v>2</v>
      </c>
    </row>
    <row r="152" spans="2:12" x14ac:dyDescent="0.2">
      <c r="B152" t="s">
        <v>772</v>
      </c>
      <c r="C152" s="74" t="s">
        <v>329</v>
      </c>
      <c r="D152" s="88">
        <v>45071</v>
      </c>
      <c r="E152" t="s">
        <v>553</v>
      </c>
      <c r="F152" t="s">
        <v>552</v>
      </c>
      <c r="G152" s="75" t="s">
        <v>95</v>
      </c>
      <c r="H152" t="s">
        <v>543</v>
      </c>
      <c r="I152" t="s">
        <v>45</v>
      </c>
      <c r="J152" t="s">
        <v>152</v>
      </c>
      <c r="K152">
        <v>3</v>
      </c>
    </row>
    <row r="153" spans="2:12" x14ac:dyDescent="0.2">
      <c r="B153" t="s">
        <v>773</v>
      </c>
      <c r="C153" s="74" t="s">
        <v>330</v>
      </c>
      <c r="D153" s="88">
        <v>45071</v>
      </c>
      <c r="E153" t="s">
        <v>553</v>
      </c>
      <c r="F153" t="s">
        <v>550</v>
      </c>
      <c r="G153" s="76" t="s">
        <v>94</v>
      </c>
      <c r="H153" t="s">
        <v>544</v>
      </c>
      <c r="I153" t="s">
        <v>43</v>
      </c>
      <c r="J153" t="s">
        <v>152</v>
      </c>
      <c r="K153">
        <v>1</v>
      </c>
    </row>
    <row r="154" spans="2:12" x14ac:dyDescent="0.2">
      <c r="B154" t="s">
        <v>774</v>
      </c>
      <c r="C154" s="74" t="s">
        <v>331</v>
      </c>
      <c r="D154" s="88">
        <v>45071</v>
      </c>
      <c r="E154" t="s">
        <v>553</v>
      </c>
      <c r="F154" t="s">
        <v>550</v>
      </c>
      <c r="G154" s="76" t="s">
        <v>94</v>
      </c>
      <c r="H154" t="s">
        <v>544</v>
      </c>
      <c r="I154" t="s">
        <v>43</v>
      </c>
      <c r="J154" t="s">
        <v>152</v>
      </c>
      <c r="K154">
        <v>2</v>
      </c>
    </row>
    <row r="155" spans="2:12" x14ac:dyDescent="0.2">
      <c r="B155" t="s">
        <v>775</v>
      </c>
      <c r="C155" s="74" t="s">
        <v>332</v>
      </c>
      <c r="D155" s="88">
        <v>45071</v>
      </c>
      <c r="E155" t="s">
        <v>553</v>
      </c>
      <c r="F155" t="s">
        <v>550</v>
      </c>
      <c r="G155" s="76" t="s">
        <v>94</v>
      </c>
      <c r="H155" t="s">
        <v>544</v>
      </c>
      <c r="I155" t="s">
        <v>43</v>
      </c>
      <c r="J155" t="s">
        <v>152</v>
      </c>
      <c r="K155">
        <v>3</v>
      </c>
    </row>
    <row r="156" spans="2:12" x14ac:dyDescent="0.2">
      <c r="B156" t="s">
        <v>776</v>
      </c>
      <c r="C156" s="74" t="s">
        <v>333</v>
      </c>
      <c r="D156" s="88">
        <v>45071</v>
      </c>
      <c r="E156" t="s">
        <v>553</v>
      </c>
      <c r="F156" t="s">
        <v>550</v>
      </c>
      <c r="G156" s="76" t="s">
        <v>94</v>
      </c>
      <c r="H156" t="s">
        <v>544</v>
      </c>
      <c r="I156" t="s">
        <v>51</v>
      </c>
      <c r="J156" t="s">
        <v>152</v>
      </c>
      <c r="K156">
        <v>1</v>
      </c>
    </row>
    <row r="157" spans="2:12" x14ac:dyDescent="0.2">
      <c r="B157" t="s">
        <v>777</v>
      </c>
      <c r="C157" s="74" t="s">
        <v>334</v>
      </c>
      <c r="D157" s="88">
        <v>45071</v>
      </c>
      <c r="E157" t="s">
        <v>553</v>
      </c>
      <c r="F157" t="s">
        <v>550</v>
      </c>
      <c r="G157" s="76" t="s">
        <v>94</v>
      </c>
      <c r="H157" t="s">
        <v>544</v>
      </c>
      <c r="I157" t="s">
        <v>51</v>
      </c>
      <c r="J157" t="s">
        <v>152</v>
      </c>
      <c r="K157">
        <v>2</v>
      </c>
    </row>
    <row r="158" spans="2:12" x14ac:dyDescent="0.2">
      <c r="B158" t="s">
        <v>778</v>
      </c>
      <c r="C158" s="74" t="s">
        <v>335</v>
      </c>
      <c r="D158" s="88">
        <v>45071</v>
      </c>
      <c r="E158" t="s">
        <v>553</v>
      </c>
      <c r="F158" t="s">
        <v>550</v>
      </c>
      <c r="G158" s="76" t="s">
        <v>94</v>
      </c>
      <c r="H158" t="s">
        <v>544</v>
      </c>
      <c r="I158" t="s">
        <v>51</v>
      </c>
      <c r="J158" t="s">
        <v>152</v>
      </c>
      <c r="K158">
        <v>3</v>
      </c>
    </row>
    <row r="159" spans="2:12" x14ac:dyDescent="0.2">
      <c r="B159" t="s">
        <v>669</v>
      </c>
      <c r="C159" s="74" t="s">
        <v>336</v>
      </c>
      <c r="D159" s="88">
        <v>45071</v>
      </c>
      <c r="E159" t="s">
        <v>553</v>
      </c>
      <c r="F159" t="s">
        <v>550</v>
      </c>
      <c r="G159" s="76" t="s">
        <v>94</v>
      </c>
      <c r="H159" t="s">
        <v>544</v>
      </c>
      <c r="I159" t="s">
        <v>60</v>
      </c>
      <c r="J159" t="s">
        <v>152</v>
      </c>
      <c r="K159">
        <v>1</v>
      </c>
    </row>
    <row r="160" spans="2:12" x14ac:dyDescent="0.2">
      <c r="B160" t="s">
        <v>779</v>
      </c>
      <c r="C160" s="74" t="s">
        <v>337</v>
      </c>
      <c r="D160" s="88">
        <v>45071</v>
      </c>
      <c r="E160" t="s">
        <v>553</v>
      </c>
      <c r="F160" t="s">
        <v>550</v>
      </c>
      <c r="G160" s="76" t="s">
        <v>94</v>
      </c>
      <c r="H160" t="s">
        <v>544</v>
      </c>
      <c r="I160" t="s">
        <v>60</v>
      </c>
      <c r="J160" t="s">
        <v>152</v>
      </c>
      <c r="K160">
        <v>2</v>
      </c>
    </row>
    <row r="161" spans="2:11" x14ac:dyDescent="0.2">
      <c r="B161" t="s">
        <v>780</v>
      </c>
      <c r="C161" s="74" t="s">
        <v>338</v>
      </c>
      <c r="D161" s="88">
        <v>45071</v>
      </c>
      <c r="E161" t="s">
        <v>553</v>
      </c>
      <c r="F161" t="s">
        <v>550</v>
      </c>
      <c r="G161" s="76" t="s">
        <v>94</v>
      </c>
      <c r="H161" t="s">
        <v>544</v>
      </c>
      <c r="I161" t="s">
        <v>60</v>
      </c>
      <c r="J161" t="s">
        <v>152</v>
      </c>
      <c r="K161">
        <v>3</v>
      </c>
    </row>
    <row r="162" spans="2:11" x14ac:dyDescent="0.2">
      <c r="B162" t="s">
        <v>672</v>
      </c>
      <c r="C162" s="74" t="s">
        <v>339</v>
      </c>
      <c r="D162" s="88">
        <v>45071</v>
      </c>
      <c r="E162" t="s">
        <v>553</v>
      </c>
      <c r="F162" t="s">
        <v>550</v>
      </c>
      <c r="G162" s="76" t="s">
        <v>94</v>
      </c>
      <c r="H162" t="s">
        <v>544</v>
      </c>
      <c r="I162" t="s">
        <v>36</v>
      </c>
      <c r="J162" t="s">
        <v>152</v>
      </c>
      <c r="K162">
        <v>1</v>
      </c>
    </row>
    <row r="163" spans="2:11" x14ac:dyDescent="0.2">
      <c r="B163" t="s">
        <v>781</v>
      </c>
      <c r="C163" s="74" t="s">
        <v>340</v>
      </c>
      <c r="D163" s="88">
        <v>45071</v>
      </c>
      <c r="E163" t="s">
        <v>553</v>
      </c>
      <c r="F163" t="s">
        <v>550</v>
      </c>
      <c r="G163" s="76" t="s">
        <v>94</v>
      </c>
      <c r="H163" t="s">
        <v>544</v>
      </c>
      <c r="I163" t="s">
        <v>36</v>
      </c>
      <c r="J163" t="s">
        <v>152</v>
      </c>
      <c r="K163">
        <v>2</v>
      </c>
    </row>
    <row r="164" spans="2:11" x14ac:dyDescent="0.2">
      <c r="B164" t="s">
        <v>782</v>
      </c>
      <c r="C164" s="74" t="s">
        <v>341</v>
      </c>
      <c r="D164" s="88">
        <v>45071</v>
      </c>
      <c r="E164" t="s">
        <v>553</v>
      </c>
      <c r="F164" t="s">
        <v>550</v>
      </c>
      <c r="G164" s="76" t="s">
        <v>94</v>
      </c>
      <c r="H164" t="s">
        <v>544</v>
      </c>
      <c r="I164" t="s">
        <v>36</v>
      </c>
      <c r="J164" t="s">
        <v>152</v>
      </c>
      <c r="K164">
        <v>3</v>
      </c>
    </row>
    <row r="165" spans="2:11" x14ac:dyDescent="0.2">
      <c r="B165" t="s">
        <v>675</v>
      </c>
      <c r="C165" s="74" t="s">
        <v>342</v>
      </c>
      <c r="D165" s="88">
        <v>45071</v>
      </c>
      <c r="E165" t="s">
        <v>553</v>
      </c>
      <c r="F165" t="s">
        <v>550</v>
      </c>
      <c r="G165" s="76" t="s">
        <v>94</v>
      </c>
      <c r="H165" t="s">
        <v>544</v>
      </c>
      <c r="I165" t="s">
        <v>45</v>
      </c>
      <c r="J165" t="s">
        <v>152</v>
      </c>
      <c r="K165">
        <v>1</v>
      </c>
    </row>
    <row r="166" spans="2:11" x14ac:dyDescent="0.2">
      <c r="B166" t="s">
        <v>783</v>
      </c>
      <c r="C166" s="74" t="s">
        <v>343</v>
      </c>
      <c r="D166" s="88">
        <v>45071</v>
      </c>
      <c r="E166" t="s">
        <v>553</v>
      </c>
      <c r="F166" t="s">
        <v>550</v>
      </c>
      <c r="G166" s="76" t="s">
        <v>94</v>
      </c>
      <c r="H166" t="s">
        <v>544</v>
      </c>
      <c r="I166" t="s">
        <v>45</v>
      </c>
      <c r="J166" t="s">
        <v>152</v>
      </c>
      <c r="K166">
        <v>2</v>
      </c>
    </row>
    <row r="167" spans="2:11" x14ac:dyDescent="0.2">
      <c r="B167" t="s">
        <v>784</v>
      </c>
      <c r="C167" s="74" t="s">
        <v>344</v>
      </c>
      <c r="D167" s="88">
        <v>45071</v>
      </c>
      <c r="E167" t="s">
        <v>553</v>
      </c>
      <c r="F167" t="s">
        <v>550</v>
      </c>
      <c r="G167" s="76" t="s">
        <v>94</v>
      </c>
      <c r="H167" t="s">
        <v>544</v>
      </c>
      <c r="I167" t="s">
        <v>45</v>
      </c>
      <c r="J167" t="s">
        <v>152</v>
      </c>
      <c r="K167">
        <v>3</v>
      </c>
    </row>
    <row r="168" spans="2:11" x14ac:dyDescent="0.2">
      <c r="B168" t="s">
        <v>785</v>
      </c>
      <c r="C168" s="74" t="s">
        <v>345</v>
      </c>
      <c r="D168" s="88">
        <v>45126</v>
      </c>
      <c r="E168" t="s">
        <v>554</v>
      </c>
      <c r="F168" t="s">
        <v>551</v>
      </c>
      <c r="G168" s="80" t="s">
        <v>16</v>
      </c>
      <c r="H168" t="s">
        <v>548</v>
      </c>
      <c r="I168" t="s">
        <v>43</v>
      </c>
      <c r="J168" t="s">
        <v>152</v>
      </c>
      <c r="K168">
        <v>1</v>
      </c>
    </row>
    <row r="169" spans="2:11" x14ac:dyDescent="0.2">
      <c r="B169" t="s">
        <v>558</v>
      </c>
      <c r="C169" s="74" t="s">
        <v>346</v>
      </c>
      <c r="D169" s="88">
        <v>45126</v>
      </c>
      <c r="E169" t="s">
        <v>554</v>
      </c>
      <c r="F169" t="s">
        <v>551</v>
      </c>
      <c r="G169" s="80" t="s">
        <v>16</v>
      </c>
      <c r="H169" t="s">
        <v>548</v>
      </c>
      <c r="I169" t="s">
        <v>43</v>
      </c>
      <c r="J169" t="s">
        <v>152</v>
      </c>
      <c r="K169">
        <v>2</v>
      </c>
    </row>
    <row r="170" spans="2:11" x14ac:dyDescent="0.2">
      <c r="B170" t="s">
        <v>786</v>
      </c>
      <c r="C170" s="74" t="s">
        <v>347</v>
      </c>
      <c r="D170" s="88">
        <v>45126</v>
      </c>
      <c r="E170" t="s">
        <v>554</v>
      </c>
      <c r="F170" t="s">
        <v>551</v>
      </c>
      <c r="G170" s="80" t="s">
        <v>16</v>
      </c>
      <c r="H170" t="s">
        <v>548</v>
      </c>
      <c r="I170" t="s">
        <v>43</v>
      </c>
      <c r="J170" t="s">
        <v>152</v>
      </c>
      <c r="K170">
        <v>3</v>
      </c>
    </row>
    <row r="171" spans="2:11" x14ac:dyDescent="0.2">
      <c r="B171" t="s">
        <v>787</v>
      </c>
      <c r="C171" s="74" t="s">
        <v>348</v>
      </c>
      <c r="D171" s="88">
        <v>45126</v>
      </c>
      <c r="E171" t="s">
        <v>554</v>
      </c>
      <c r="F171" t="s">
        <v>551</v>
      </c>
      <c r="G171" s="80" t="s">
        <v>16</v>
      </c>
      <c r="H171" t="s">
        <v>548</v>
      </c>
      <c r="I171" t="s">
        <v>74</v>
      </c>
      <c r="J171" t="s">
        <v>152</v>
      </c>
      <c r="K171">
        <v>1</v>
      </c>
    </row>
    <row r="172" spans="2:11" x14ac:dyDescent="0.2">
      <c r="B172" t="s">
        <v>566</v>
      </c>
      <c r="C172" s="74" t="s">
        <v>349</v>
      </c>
      <c r="D172" s="88">
        <v>45126</v>
      </c>
      <c r="E172" t="s">
        <v>554</v>
      </c>
      <c r="F172" t="s">
        <v>551</v>
      </c>
      <c r="G172" s="80" t="s">
        <v>16</v>
      </c>
      <c r="H172" t="s">
        <v>548</v>
      </c>
      <c r="I172" t="s">
        <v>74</v>
      </c>
      <c r="J172" t="s">
        <v>152</v>
      </c>
      <c r="K172">
        <v>2</v>
      </c>
    </row>
    <row r="173" spans="2:11" x14ac:dyDescent="0.2">
      <c r="B173" t="s">
        <v>788</v>
      </c>
      <c r="C173" s="74" t="s">
        <v>350</v>
      </c>
      <c r="D173" s="88">
        <v>45126</v>
      </c>
      <c r="E173" t="s">
        <v>554</v>
      </c>
      <c r="F173" t="s">
        <v>551</v>
      </c>
      <c r="G173" s="80" t="s">
        <v>16</v>
      </c>
      <c r="H173" t="s">
        <v>548</v>
      </c>
      <c r="I173" t="s">
        <v>74</v>
      </c>
      <c r="J173" t="s">
        <v>152</v>
      </c>
      <c r="K173">
        <v>3</v>
      </c>
    </row>
    <row r="174" spans="2:11" x14ac:dyDescent="0.2">
      <c r="B174" t="s">
        <v>789</v>
      </c>
      <c r="C174" s="74" t="s">
        <v>351</v>
      </c>
      <c r="D174" s="88">
        <v>45126</v>
      </c>
      <c r="E174" t="s">
        <v>554</v>
      </c>
      <c r="F174" t="s">
        <v>551</v>
      </c>
      <c r="G174" s="80" t="s">
        <v>16</v>
      </c>
      <c r="H174" t="s">
        <v>548</v>
      </c>
      <c r="I174" t="s">
        <v>51</v>
      </c>
      <c r="J174" t="s">
        <v>152</v>
      </c>
      <c r="K174">
        <v>1</v>
      </c>
    </row>
    <row r="175" spans="2:11" x14ac:dyDescent="0.2">
      <c r="B175" t="s">
        <v>570</v>
      </c>
      <c r="C175" s="74" t="s">
        <v>352</v>
      </c>
      <c r="D175" s="88">
        <v>45126</v>
      </c>
      <c r="E175" t="s">
        <v>554</v>
      </c>
      <c r="F175" t="s">
        <v>551</v>
      </c>
      <c r="G175" s="80" t="s">
        <v>16</v>
      </c>
      <c r="H175" t="s">
        <v>548</v>
      </c>
      <c r="I175" t="s">
        <v>51</v>
      </c>
      <c r="J175" t="s">
        <v>152</v>
      </c>
      <c r="K175">
        <v>2</v>
      </c>
    </row>
    <row r="176" spans="2:11" x14ac:dyDescent="0.2">
      <c r="B176" t="s">
        <v>790</v>
      </c>
      <c r="C176" s="74" t="s">
        <v>353</v>
      </c>
      <c r="D176" s="88">
        <v>45126</v>
      </c>
      <c r="E176" t="s">
        <v>554</v>
      </c>
      <c r="F176" t="s">
        <v>551</v>
      </c>
      <c r="G176" s="80" t="s">
        <v>16</v>
      </c>
      <c r="H176" t="s">
        <v>548</v>
      </c>
      <c r="I176" t="s">
        <v>51</v>
      </c>
      <c r="J176" t="s">
        <v>152</v>
      </c>
      <c r="K176">
        <v>3</v>
      </c>
    </row>
    <row r="177" spans="2:11" x14ac:dyDescent="0.2">
      <c r="B177" t="s">
        <v>791</v>
      </c>
      <c r="C177" s="74" t="s">
        <v>354</v>
      </c>
      <c r="D177" s="88">
        <v>45126</v>
      </c>
      <c r="E177" t="s">
        <v>554</v>
      </c>
      <c r="F177" t="s">
        <v>551</v>
      </c>
      <c r="G177" s="80" t="s">
        <v>16</v>
      </c>
      <c r="H177" t="s">
        <v>548</v>
      </c>
      <c r="I177" t="s">
        <v>60</v>
      </c>
      <c r="J177" t="s">
        <v>152</v>
      </c>
      <c r="K177">
        <v>1</v>
      </c>
    </row>
    <row r="178" spans="2:11" x14ac:dyDescent="0.2">
      <c r="B178" t="s">
        <v>582</v>
      </c>
      <c r="C178" s="74" t="s">
        <v>355</v>
      </c>
      <c r="D178" s="88">
        <v>45126</v>
      </c>
      <c r="E178" t="s">
        <v>554</v>
      </c>
      <c r="F178" t="s">
        <v>551</v>
      </c>
      <c r="G178" s="80" t="s">
        <v>16</v>
      </c>
      <c r="H178" t="s">
        <v>548</v>
      </c>
      <c r="I178" t="s">
        <v>60</v>
      </c>
      <c r="J178" t="s">
        <v>152</v>
      </c>
      <c r="K178">
        <v>2</v>
      </c>
    </row>
    <row r="179" spans="2:11" x14ac:dyDescent="0.2">
      <c r="B179" t="s">
        <v>792</v>
      </c>
      <c r="C179" s="74" t="s">
        <v>356</v>
      </c>
      <c r="D179" s="88">
        <v>45126</v>
      </c>
      <c r="E179" t="s">
        <v>554</v>
      </c>
      <c r="F179" t="s">
        <v>551</v>
      </c>
      <c r="G179" s="80" t="s">
        <v>16</v>
      </c>
      <c r="H179" t="s">
        <v>548</v>
      </c>
      <c r="I179" t="s">
        <v>60</v>
      </c>
      <c r="J179" t="s">
        <v>152</v>
      </c>
      <c r="K179">
        <v>3</v>
      </c>
    </row>
    <row r="180" spans="2:11" x14ac:dyDescent="0.2">
      <c r="B180" t="s">
        <v>793</v>
      </c>
      <c r="C180" s="74" t="s">
        <v>357</v>
      </c>
      <c r="D180" s="88">
        <v>45126</v>
      </c>
      <c r="E180" t="s">
        <v>554</v>
      </c>
      <c r="F180" t="s">
        <v>551</v>
      </c>
      <c r="G180" s="80" t="s">
        <v>16</v>
      </c>
      <c r="H180" t="s">
        <v>548</v>
      </c>
      <c r="I180" t="s">
        <v>36</v>
      </c>
      <c r="J180" t="s">
        <v>152</v>
      </c>
      <c r="K180">
        <v>1</v>
      </c>
    </row>
    <row r="181" spans="2:11" x14ac:dyDescent="0.2">
      <c r="B181" t="s">
        <v>586</v>
      </c>
      <c r="C181" s="74" t="s">
        <v>358</v>
      </c>
      <c r="D181" s="88">
        <v>45126</v>
      </c>
      <c r="E181" t="s">
        <v>554</v>
      </c>
      <c r="F181" t="s">
        <v>551</v>
      </c>
      <c r="G181" s="80" t="s">
        <v>16</v>
      </c>
      <c r="H181" t="s">
        <v>548</v>
      </c>
      <c r="I181" t="s">
        <v>36</v>
      </c>
      <c r="J181" t="s">
        <v>152</v>
      </c>
      <c r="K181">
        <v>2</v>
      </c>
    </row>
    <row r="182" spans="2:11" x14ac:dyDescent="0.2">
      <c r="B182" t="s">
        <v>794</v>
      </c>
      <c r="C182" s="74" t="s">
        <v>359</v>
      </c>
      <c r="D182" s="88">
        <v>45126</v>
      </c>
      <c r="E182" t="s">
        <v>554</v>
      </c>
      <c r="F182" t="s">
        <v>551</v>
      </c>
      <c r="G182" s="80" t="s">
        <v>16</v>
      </c>
      <c r="H182" t="s">
        <v>548</v>
      </c>
      <c r="I182" t="s">
        <v>36</v>
      </c>
      <c r="J182" t="s">
        <v>152</v>
      </c>
      <c r="K182">
        <v>3</v>
      </c>
    </row>
    <row r="183" spans="2:11" x14ac:dyDescent="0.2">
      <c r="B183" t="s">
        <v>795</v>
      </c>
      <c r="C183" s="74" t="s">
        <v>360</v>
      </c>
      <c r="D183" s="88">
        <v>45126</v>
      </c>
      <c r="E183" t="s">
        <v>554</v>
      </c>
      <c r="F183" t="s">
        <v>551</v>
      </c>
      <c r="G183" s="80" t="s">
        <v>16</v>
      </c>
      <c r="H183" t="s">
        <v>548</v>
      </c>
      <c r="I183" t="s">
        <v>45</v>
      </c>
      <c r="J183" t="s">
        <v>152</v>
      </c>
      <c r="K183">
        <v>1</v>
      </c>
    </row>
    <row r="184" spans="2:11" x14ac:dyDescent="0.2">
      <c r="B184" t="s">
        <v>590</v>
      </c>
      <c r="C184" s="74" t="s">
        <v>361</v>
      </c>
      <c r="D184" s="88">
        <v>45126</v>
      </c>
      <c r="E184" t="s">
        <v>554</v>
      </c>
      <c r="F184" t="s">
        <v>551</v>
      </c>
      <c r="G184" s="80" t="s">
        <v>16</v>
      </c>
      <c r="H184" t="s">
        <v>548</v>
      </c>
      <c r="I184" t="s">
        <v>45</v>
      </c>
      <c r="J184" t="s">
        <v>152</v>
      </c>
      <c r="K184">
        <v>2</v>
      </c>
    </row>
    <row r="185" spans="2:11" x14ac:dyDescent="0.2">
      <c r="B185" t="s">
        <v>796</v>
      </c>
      <c r="C185" s="74" t="s">
        <v>362</v>
      </c>
      <c r="D185" s="88">
        <v>45126</v>
      </c>
      <c r="E185" t="s">
        <v>554</v>
      </c>
      <c r="F185" t="s">
        <v>551</v>
      </c>
      <c r="G185" s="80" t="s">
        <v>16</v>
      </c>
      <c r="H185" t="s">
        <v>548</v>
      </c>
      <c r="I185" t="s">
        <v>45</v>
      </c>
      <c r="J185" t="s">
        <v>152</v>
      </c>
      <c r="K185">
        <v>3</v>
      </c>
    </row>
    <row r="186" spans="2:11" x14ac:dyDescent="0.2">
      <c r="B186" t="s">
        <v>797</v>
      </c>
      <c r="C186" s="74" t="s">
        <v>363</v>
      </c>
      <c r="D186" s="88">
        <v>45124</v>
      </c>
      <c r="E186" t="s">
        <v>554</v>
      </c>
      <c r="F186" t="s">
        <v>8</v>
      </c>
      <c r="G186" s="77" t="s">
        <v>9</v>
      </c>
      <c r="H186" t="s">
        <v>545</v>
      </c>
      <c r="I186" t="s">
        <v>43</v>
      </c>
      <c r="J186" t="s">
        <v>152</v>
      </c>
      <c r="K186">
        <v>1</v>
      </c>
    </row>
    <row r="187" spans="2:11" x14ac:dyDescent="0.2">
      <c r="B187" t="s">
        <v>606</v>
      </c>
      <c r="C187" s="74" t="s">
        <v>364</v>
      </c>
      <c r="D187" s="88">
        <v>45124</v>
      </c>
      <c r="E187" t="s">
        <v>554</v>
      </c>
      <c r="F187" t="s">
        <v>8</v>
      </c>
      <c r="G187" s="77" t="s">
        <v>9</v>
      </c>
      <c r="H187" t="s">
        <v>545</v>
      </c>
      <c r="I187" t="s">
        <v>43</v>
      </c>
      <c r="J187" t="s">
        <v>152</v>
      </c>
      <c r="K187">
        <v>2</v>
      </c>
    </row>
    <row r="188" spans="2:11" x14ac:dyDescent="0.2">
      <c r="B188" t="s">
        <v>798</v>
      </c>
      <c r="C188" s="74" t="s">
        <v>365</v>
      </c>
      <c r="D188" s="88">
        <v>45124</v>
      </c>
      <c r="E188" t="s">
        <v>554</v>
      </c>
      <c r="F188" t="s">
        <v>8</v>
      </c>
      <c r="G188" s="77" t="s">
        <v>9</v>
      </c>
      <c r="H188" t="s">
        <v>545</v>
      </c>
      <c r="I188" t="s">
        <v>43</v>
      </c>
      <c r="J188" t="s">
        <v>152</v>
      </c>
      <c r="K188">
        <v>3</v>
      </c>
    </row>
    <row r="189" spans="2:11" x14ac:dyDescent="0.2">
      <c r="B189" t="s">
        <v>799</v>
      </c>
      <c r="C189" s="74" t="s">
        <v>366</v>
      </c>
      <c r="D189" s="88">
        <v>45124</v>
      </c>
      <c r="E189" t="s">
        <v>554</v>
      </c>
      <c r="F189" t="s">
        <v>8</v>
      </c>
      <c r="G189" s="77" t="s">
        <v>9</v>
      </c>
      <c r="H189" t="s">
        <v>545</v>
      </c>
      <c r="I189" t="s">
        <v>74</v>
      </c>
      <c r="J189" t="s">
        <v>152</v>
      </c>
      <c r="K189">
        <v>1</v>
      </c>
    </row>
    <row r="190" spans="2:11" x14ac:dyDescent="0.2">
      <c r="B190" t="s">
        <v>613</v>
      </c>
      <c r="C190" s="74" t="s">
        <v>367</v>
      </c>
      <c r="D190" s="88">
        <v>45124</v>
      </c>
      <c r="E190" t="s">
        <v>554</v>
      </c>
      <c r="F190" t="s">
        <v>8</v>
      </c>
      <c r="G190" s="77" t="s">
        <v>9</v>
      </c>
      <c r="H190" t="s">
        <v>545</v>
      </c>
      <c r="I190" t="s">
        <v>74</v>
      </c>
      <c r="J190" t="s">
        <v>152</v>
      </c>
      <c r="K190">
        <v>2</v>
      </c>
    </row>
    <row r="191" spans="2:11" x14ac:dyDescent="0.2">
      <c r="B191" t="s">
        <v>800</v>
      </c>
      <c r="C191" s="74" t="s">
        <v>368</v>
      </c>
      <c r="D191" s="88">
        <v>45124</v>
      </c>
      <c r="E191" t="s">
        <v>554</v>
      </c>
      <c r="F191" t="s">
        <v>8</v>
      </c>
      <c r="G191" s="77" t="s">
        <v>9</v>
      </c>
      <c r="H191" t="s">
        <v>545</v>
      </c>
      <c r="I191" t="s">
        <v>74</v>
      </c>
      <c r="J191" t="s">
        <v>152</v>
      </c>
      <c r="K191">
        <v>3</v>
      </c>
    </row>
    <row r="192" spans="2:11" x14ac:dyDescent="0.2">
      <c r="B192" t="s">
        <v>801</v>
      </c>
      <c r="C192" s="74" t="s">
        <v>369</v>
      </c>
      <c r="D192" s="88">
        <v>45124</v>
      </c>
      <c r="E192" t="s">
        <v>554</v>
      </c>
      <c r="F192" t="s">
        <v>8</v>
      </c>
      <c r="G192" s="77" t="s">
        <v>9</v>
      </c>
      <c r="H192" t="s">
        <v>545</v>
      </c>
      <c r="I192" t="s">
        <v>51</v>
      </c>
      <c r="J192" t="s">
        <v>152</v>
      </c>
      <c r="K192">
        <v>1</v>
      </c>
    </row>
    <row r="193" spans="2:11" x14ac:dyDescent="0.2">
      <c r="B193" t="s">
        <v>622</v>
      </c>
      <c r="C193" s="74" t="s">
        <v>370</v>
      </c>
      <c r="D193" s="88">
        <v>45124</v>
      </c>
      <c r="E193" t="s">
        <v>554</v>
      </c>
      <c r="F193" t="s">
        <v>8</v>
      </c>
      <c r="G193" s="77" t="s">
        <v>9</v>
      </c>
      <c r="H193" t="s">
        <v>545</v>
      </c>
      <c r="I193" t="s">
        <v>51</v>
      </c>
      <c r="J193" t="s">
        <v>152</v>
      </c>
      <c r="K193">
        <v>2</v>
      </c>
    </row>
    <row r="194" spans="2:11" x14ac:dyDescent="0.2">
      <c r="B194" t="s">
        <v>802</v>
      </c>
      <c r="C194" s="74" t="s">
        <v>371</v>
      </c>
      <c r="D194" s="88">
        <v>45124</v>
      </c>
      <c r="E194" t="s">
        <v>554</v>
      </c>
      <c r="F194" t="s">
        <v>8</v>
      </c>
      <c r="G194" s="77" t="s">
        <v>9</v>
      </c>
      <c r="H194" t="s">
        <v>545</v>
      </c>
      <c r="I194" t="s">
        <v>51</v>
      </c>
      <c r="J194" t="s">
        <v>152</v>
      </c>
      <c r="K194">
        <v>3</v>
      </c>
    </row>
    <row r="195" spans="2:11" x14ac:dyDescent="0.2">
      <c r="B195" t="s">
        <v>803</v>
      </c>
      <c r="C195" s="74" t="s">
        <v>372</v>
      </c>
      <c r="D195" s="88">
        <v>45124</v>
      </c>
      <c r="E195" t="s">
        <v>554</v>
      </c>
      <c r="F195" t="s">
        <v>8</v>
      </c>
      <c r="G195" s="77" t="s">
        <v>9</v>
      </c>
      <c r="H195" t="s">
        <v>545</v>
      </c>
      <c r="I195" t="s">
        <v>60</v>
      </c>
      <c r="J195" t="s">
        <v>152</v>
      </c>
      <c r="K195">
        <v>1</v>
      </c>
    </row>
    <row r="196" spans="2:11" x14ac:dyDescent="0.2">
      <c r="B196" t="s">
        <v>630</v>
      </c>
      <c r="C196" s="74" t="s">
        <v>373</v>
      </c>
      <c r="D196" s="88">
        <v>45124</v>
      </c>
      <c r="E196" t="s">
        <v>554</v>
      </c>
      <c r="F196" t="s">
        <v>8</v>
      </c>
      <c r="G196" s="77" t="s">
        <v>9</v>
      </c>
      <c r="H196" t="s">
        <v>545</v>
      </c>
      <c r="I196" t="s">
        <v>60</v>
      </c>
      <c r="J196" t="s">
        <v>152</v>
      </c>
      <c r="K196">
        <v>2</v>
      </c>
    </row>
    <row r="197" spans="2:11" x14ac:dyDescent="0.2">
      <c r="B197" t="s">
        <v>804</v>
      </c>
      <c r="C197" s="74" t="s">
        <v>374</v>
      </c>
      <c r="D197" s="88">
        <v>45124</v>
      </c>
      <c r="E197" t="s">
        <v>554</v>
      </c>
      <c r="F197" t="s">
        <v>8</v>
      </c>
      <c r="G197" s="77" t="s">
        <v>9</v>
      </c>
      <c r="H197" t="s">
        <v>545</v>
      </c>
      <c r="I197" t="s">
        <v>60</v>
      </c>
      <c r="J197" t="s">
        <v>152</v>
      </c>
      <c r="K197">
        <v>3</v>
      </c>
    </row>
    <row r="198" spans="2:11" x14ac:dyDescent="0.2">
      <c r="B198" t="s">
        <v>805</v>
      </c>
      <c r="C198" s="74" t="s">
        <v>375</v>
      </c>
      <c r="D198" s="88">
        <v>45124</v>
      </c>
      <c r="E198" t="s">
        <v>554</v>
      </c>
      <c r="F198" t="s">
        <v>8</v>
      </c>
      <c r="G198" s="77" t="s">
        <v>9</v>
      </c>
      <c r="H198" t="s">
        <v>545</v>
      </c>
      <c r="I198" t="s">
        <v>36</v>
      </c>
      <c r="J198" t="s">
        <v>152</v>
      </c>
      <c r="K198">
        <v>1</v>
      </c>
    </row>
    <row r="199" spans="2:11" x14ac:dyDescent="0.2">
      <c r="B199" t="s">
        <v>634</v>
      </c>
      <c r="C199" s="74" t="s">
        <v>376</v>
      </c>
      <c r="D199" s="88">
        <v>45124</v>
      </c>
      <c r="E199" t="s">
        <v>554</v>
      </c>
      <c r="F199" t="s">
        <v>8</v>
      </c>
      <c r="G199" s="77" t="s">
        <v>9</v>
      </c>
      <c r="H199" t="s">
        <v>545</v>
      </c>
      <c r="I199" t="s">
        <v>36</v>
      </c>
      <c r="J199" t="s">
        <v>152</v>
      </c>
      <c r="K199">
        <v>2</v>
      </c>
    </row>
    <row r="200" spans="2:11" x14ac:dyDescent="0.2">
      <c r="B200" t="s">
        <v>806</v>
      </c>
      <c r="C200" s="74" t="s">
        <v>377</v>
      </c>
      <c r="D200" s="88">
        <v>45124</v>
      </c>
      <c r="E200" t="s">
        <v>554</v>
      </c>
      <c r="F200" t="s">
        <v>8</v>
      </c>
      <c r="G200" s="77" t="s">
        <v>9</v>
      </c>
      <c r="H200" t="s">
        <v>545</v>
      </c>
      <c r="I200" t="s">
        <v>36</v>
      </c>
      <c r="J200" t="s">
        <v>152</v>
      </c>
      <c r="K200">
        <v>3</v>
      </c>
    </row>
    <row r="201" spans="2:11" x14ac:dyDescent="0.2">
      <c r="B201" t="s">
        <v>807</v>
      </c>
      <c r="C201" s="74" t="s">
        <v>378</v>
      </c>
      <c r="D201" s="88">
        <v>45124</v>
      </c>
      <c r="E201" t="s">
        <v>554</v>
      </c>
      <c r="F201" t="s">
        <v>8</v>
      </c>
      <c r="G201" s="77" t="s">
        <v>9</v>
      </c>
      <c r="H201" t="s">
        <v>545</v>
      </c>
      <c r="I201" t="s">
        <v>45</v>
      </c>
      <c r="J201" t="s">
        <v>152</v>
      </c>
      <c r="K201">
        <v>1</v>
      </c>
    </row>
    <row r="202" spans="2:11" x14ac:dyDescent="0.2">
      <c r="B202" t="s">
        <v>638</v>
      </c>
      <c r="C202" s="74" t="s">
        <v>379</v>
      </c>
      <c r="D202" s="88">
        <v>45124</v>
      </c>
      <c r="E202" t="s">
        <v>554</v>
      </c>
      <c r="F202" t="s">
        <v>8</v>
      </c>
      <c r="G202" s="77" t="s">
        <v>9</v>
      </c>
      <c r="H202" t="s">
        <v>545</v>
      </c>
      <c r="I202" t="s">
        <v>45</v>
      </c>
      <c r="J202" t="s">
        <v>152</v>
      </c>
      <c r="K202">
        <v>2</v>
      </c>
    </row>
    <row r="203" spans="2:11" x14ac:dyDescent="0.2">
      <c r="B203" t="s">
        <v>808</v>
      </c>
      <c r="C203" s="74" t="s">
        <v>380</v>
      </c>
      <c r="D203" s="88">
        <v>45124</v>
      </c>
      <c r="E203" t="s">
        <v>554</v>
      </c>
      <c r="F203" t="s">
        <v>8</v>
      </c>
      <c r="G203" s="77" t="s">
        <v>9</v>
      </c>
      <c r="H203" t="s">
        <v>545</v>
      </c>
      <c r="I203" t="s">
        <v>45</v>
      </c>
      <c r="J203" t="s">
        <v>152</v>
      </c>
      <c r="K203">
        <v>3</v>
      </c>
    </row>
    <row r="204" spans="2:11" x14ac:dyDescent="0.2">
      <c r="B204" t="s">
        <v>811</v>
      </c>
      <c r="C204" s="74" t="s">
        <v>381</v>
      </c>
      <c r="D204" s="88">
        <v>45124</v>
      </c>
      <c r="E204" t="s">
        <v>554</v>
      </c>
      <c r="F204" t="s">
        <v>8</v>
      </c>
      <c r="G204" s="77" t="s">
        <v>9</v>
      </c>
      <c r="H204" t="s">
        <v>545</v>
      </c>
      <c r="I204" t="s">
        <v>62</v>
      </c>
      <c r="J204" t="s">
        <v>152</v>
      </c>
      <c r="K204">
        <v>1</v>
      </c>
    </row>
    <row r="205" spans="2:11" x14ac:dyDescent="0.2">
      <c r="B205" t="s">
        <v>694</v>
      </c>
      <c r="C205" s="74" t="s">
        <v>382</v>
      </c>
      <c r="D205" s="88">
        <v>45124</v>
      </c>
      <c r="E205" t="s">
        <v>554</v>
      </c>
      <c r="F205" t="s">
        <v>8</v>
      </c>
      <c r="G205" s="77" t="s">
        <v>9</v>
      </c>
      <c r="H205" t="s">
        <v>545</v>
      </c>
      <c r="I205" t="s">
        <v>62</v>
      </c>
      <c r="J205" t="s">
        <v>152</v>
      </c>
      <c r="K205">
        <v>2</v>
      </c>
    </row>
    <row r="206" spans="2:11" x14ac:dyDescent="0.2">
      <c r="B206" t="s">
        <v>812</v>
      </c>
      <c r="C206" s="74" t="s">
        <v>383</v>
      </c>
      <c r="D206" s="88">
        <v>45124</v>
      </c>
      <c r="E206" t="s">
        <v>554</v>
      </c>
      <c r="F206" t="s">
        <v>8</v>
      </c>
      <c r="G206" s="77" t="s">
        <v>9</v>
      </c>
      <c r="H206" t="s">
        <v>545</v>
      </c>
      <c r="I206" t="s">
        <v>62</v>
      </c>
      <c r="J206" t="s">
        <v>152</v>
      </c>
      <c r="K206">
        <v>3</v>
      </c>
    </row>
    <row r="207" spans="2:11" x14ac:dyDescent="0.2">
      <c r="B207" t="s">
        <v>815</v>
      </c>
      <c r="C207" s="74" t="s">
        <v>384</v>
      </c>
      <c r="D207" s="88">
        <v>45124</v>
      </c>
      <c r="E207" t="s">
        <v>554</v>
      </c>
      <c r="F207" t="s">
        <v>90</v>
      </c>
      <c r="G207" s="78" t="s">
        <v>96</v>
      </c>
      <c r="H207" t="s">
        <v>546</v>
      </c>
      <c r="I207" t="s">
        <v>51</v>
      </c>
      <c r="J207" t="s">
        <v>152</v>
      </c>
      <c r="K207">
        <v>1</v>
      </c>
    </row>
    <row r="208" spans="2:11" x14ac:dyDescent="0.2">
      <c r="B208" t="s">
        <v>705</v>
      </c>
      <c r="C208" s="74" t="s">
        <v>385</v>
      </c>
      <c r="D208" s="88">
        <v>45124</v>
      </c>
      <c r="E208" t="s">
        <v>554</v>
      </c>
      <c r="F208" t="s">
        <v>90</v>
      </c>
      <c r="G208" s="78" t="s">
        <v>96</v>
      </c>
      <c r="H208" t="s">
        <v>546</v>
      </c>
      <c r="I208" t="s">
        <v>51</v>
      </c>
      <c r="J208" t="s">
        <v>152</v>
      </c>
      <c r="K208">
        <v>2</v>
      </c>
    </row>
    <row r="209" spans="2:11" x14ac:dyDescent="0.2">
      <c r="B209" t="s">
        <v>816</v>
      </c>
      <c r="C209" s="74" t="s">
        <v>386</v>
      </c>
      <c r="D209" s="88">
        <v>45124</v>
      </c>
      <c r="E209" t="s">
        <v>554</v>
      </c>
      <c r="F209" t="s">
        <v>90</v>
      </c>
      <c r="G209" s="78" t="s">
        <v>96</v>
      </c>
      <c r="H209" t="s">
        <v>546</v>
      </c>
      <c r="I209" t="s">
        <v>51</v>
      </c>
      <c r="J209" t="s">
        <v>152</v>
      </c>
      <c r="K209">
        <v>3</v>
      </c>
    </row>
    <row r="210" spans="2:11" x14ac:dyDescent="0.2">
      <c r="B210" t="s">
        <v>690</v>
      </c>
      <c r="C210" s="74" t="s">
        <v>387</v>
      </c>
      <c r="D210" s="88">
        <v>45124</v>
      </c>
      <c r="E210" t="s">
        <v>554</v>
      </c>
      <c r="F210" t="s">
        <v>90</v>
      </c>
      <c r="G210" s="78" t="s">
        <v>96</v>
      </c>
      <c r="H210" t="s">
        <v>546</v>
      </c>
      <c r="I210" t="s">
        <v>60</v>
      </c>
      <c r="J210" t="s">
        <v>152</v>
      </c>
      <c r="K210">
        <v>1</v>
      </c>
    </row>
    <row r="211" spans="2:11" x14ac:dyDescent="0.2">
      <c r="B211" t="s">
        <v>642</v>
      </c>
      <c r="C211" s="74" t="s">
        <v>388</v>
      </c>
      <c r="D211" s="88">
        <v>45124</v>
      </c>
      <c r="E211" t="s">
        <v>554</v>
      </c>
      <c r="F211" t="s">
        <v>90</v>
      </c>
      <c r="G211" s="78" t="s">
        <v>96</v>
      </c>
      <c r="H211" t="s">
        <v>546</v>
      </c>
      <c r="I211" t="s">
        <v>60</v>
      </c>
      <c r="J211" t="s">
        <v>152</v>
      </c>
      <c r="K211">
        <v>2</v>
      </c>
    </row>
    <row r="212" spans="2:11" x14ac:dyDescent="0.2">
      <c r="B212" t="s">
        <v>691</v>
      </c>
      <c r="C212" s="74" t="s">
        <v>389</v>
      </c>
      <c r="D212" s="88">
        <v>45124</v>
      </c>
      <c r="E212" t="s">
        <v>554</v>
      </c>
      <c r="F212" t="s">
        <v>90</v>
      </c>
      <c r="G212" s="78" t="s">
        <v>96</v>
      </c>
      <c r="H212" t="s">
        <v>546</v>
      </c>
      <c r="I212" t="s">
        <v>60</v>
      </c>
      <c r="J212" t="s">
        <v>152</v>
      </c>
      <c r="K212">
        <v>3</v>
      </c>
    </row>
    <row r="213" spans="2:11" x14ac:dyDescent="0.2">
      <c r="B213" t="s">
        <v>809</v>
      </c>
      <c r="C213" s="74" t="s">
        <v>390</v>
      </c>
      <c r="D213" s="88">
        <v>45124</v>
      </c>
      <c r="E213" t="s">
        <v>554</v>
      </c>
      <c r="F213" t="s">
        <v>90</v>
      </c>
      <c r="G213" s="78" t="s">
        <v>96</v>
      </c>
      <c r="H213" t="s">
        <v>546</v>
      </c>
      <c r="I213" t="s">
        <v>45</v>
      </c>
      <c r="J213" t="s">
        <v>152</v>
      </c>
      <c r="K213">
        <v>1</v>
      </c>
    </row>
    <row r="214" spans="2:11" x14ac:dyDescent="0.2">
      <c r="B214" t="s">
        <v>646</v>
      </c>
      <c r="C214" s="74" t="s">
        <v>391</v>
      </c>
      <c r="D214" s="88">
        <v>45124</v>
      </c>
      <c r="E214" t="s">
        <v>554</v>
      </c>
      <c r="F214" t="s">
        <v>90</v>
      </c>
      <c r="G214" s="78" t="s">
        <v>96</v>
      </c>
      <c r="H214" t="s">
        <v>546</v>
      </c>
      <c r="I214" t="s">
        <v>45</v>
      </c>
      <c r="J214" t="s">
        <v>152</v>
      </c>
      <c r="K214">
        <v>2</v>
      </c>
    </row>
    <row r="215" spans="2:11" x14ac:dyDescent="0.2">
      <c r="B215" t="s">
        <v>810</v>
      </c>
      <c r="C215" s="74" t="s">
        <v>392</v>
      </c>
      <c r="D215" s="88">
        <v>45124</v>
      </c>
      <c r="E215" t="s">
        <v>554</v>
      </c>
      <c r="F215" t="s">
        <v>90</v>
      </c>
      <c r="G215" s="78" t="s">
        <v>96</v>
      </c>
      <c r="H215" t="s">
        <v>546</v>
      </c>
      <c r="I215" t="s">
        <v>45</v>
      </c>
      <c r="J215" t="s">
        <v>152</v>
      </c>
      <c r="K215">
        <v>3</v>
      </c>
    </row>
    <row r="216" spans="2:11" x14ac:dyDescent="0.2">
      <c r="B216" t="s">
        <v>813</v>
      </c>
      <c r="C216" s="74" t="s">
        <v>393</v>
      </c>
      <c r="D216" s="88">
        <v>45124</v>
      </c>
      <c r="E216" t="s">
        <v>554</v>
      </c>
      <c r="F216" t="s">
        <v>90</v>
      </c>
      <c r="G216" s="78" t="s">
        <v>96</v>
      </c>
      <c r="H216" t="s">
        <v>546</v>
      </c>
      <c r="I216" t="s">
        <v>62</v>
      </c>
      <c r="J216" t="s">
        <v>152</v>
      </c>
      <c r="K216">
        <v>1</v>
      </c>
    </row>
    <row r="217" spans="2:11" x14ac:dyDescent="0.2">
      <c r="B217" t="s">
        <v>698</v>
      </c>
      <c r="C217" s="74" t="s">
        <v>394</v>
      </c>
      <c r="D217" s="88">
        <v>45124</v>
      </c>
      <c r="E217" t="s">
        <v>554</v>
      </c>
      <c r="F217" t="s">
        <v>90</v>
      </c>
      <c r="G217" s="78" t="s">
        <v>96</v>
      </c>
      <c r="H217" t="s">
        <v>546</v>
      </c>
      <c r="I217" t="s">
        <v>62</v>
      </c>
      <c r="J217" t="s">
        <v>152</v>
      </c>
      <c r="K217">
        <v>2</v>
      </c>
    </row>
    <row r="218" spans="2:11" x14ac:dyDescent="0.2">
      <c r="B218" t="s">
        <v>814</v>
      </c>
      <c r="C218" s="74" t="s">
        <v>395</v>
      </c>
      <c r="D218" s="88">
        <v>45124</v>
      </c>
      <c r="E218" t="s">
        <v>554</v>
      </c>
      <c r="F218" t="s">
        <v>90</v>
      </c>
      <c r="G218" s="78" t="s">
        <v>96</v>
      </c>
      <c r="H218" t="s">
        <v>546</v>
      </c>
      <c r="I218" t="s">
        <v>62</v>
      </c>
      <c r="J218" t="s">
        <v>152</v>
      </c>
      <c r="K218">
        <v>3</v>
      </c>
    </row>
    <row r="219" spans="2:11" x14ac:dyDescent="0.2">
      <c r="B219" t="s">
        <v>817</v>
      </c>
      <c r="C219" s="74" t="s">
        <v>396</v>
      </c>
      <c r="D219" s="88">
        <v>45126</v>
      </c>
      <c r="E219" t="s">
        <v>554</v>
      </c>
      <c r="F219" t="s">
        <v>549</v>
      </c>
      <c r="G219" s="79" t="s">
        <v>22</v>
      </c>
      <c r="H219" t="s">
        <v>547</v>
      </c>
      <c r="I219" t="s">
        <v>43</v>
      </c>
      <c r="J219" t="s">
        <v>152</v>
      </c>
      <c r="K219">
        <v>1</v>
      </c>
    </row>
    <row r="220" spans="2:11" x14ac:dyDescent="0.2">
      <c r="B220" t="s">
        <v>723</v>
      </c>
      <c r="C220" s="74" t="s">
        <v>397</v>
      </c>
      <c r="D220" s="88">
        <v>45126</v>
      </c>
      <c r="E220" t="s">
        <v>554</v>
      </c>
      <c r="F220" t="s">
        <v>549</v>
      </c>
      <c r="G220" s="79" t="s">
        <v>22</v>
      </c>
      <c r="H220" t="s">
        <v>547</v>
      </c>
      <c r="I220" t="s">
        <v>43</v>
      </c>
      <c r="J220" t="s">
        <v>152</v>
      </c>
      <c r="K220">
        <v>2</v>
      </c>
    </row>
    <row r="221" spans="2:11" x14ac:dyDescent="0.2">
      <c r="B221" t="s">
        <v>818</v>
      </c>
      <c r="C221" s="74" t="s">
        <v>398</v>
      </c>
      <c r="D221" s="88">
        <v>45126</v>
      </c>
      <c r="E221" t="s">
        <v>554</v>
      </c>
      <c r="F221" t="s">
        <v>549</v>
      </c>
      <c r="G221" s="79" t="s">
        <v>22</v>
      </c>
      <c r="H221" t="s">
        <v>547</v>
      </c>
      <c r="I221" t="s">
        <v>43</v>
      </c>
      <c r="J221" t="s">
        <v>152</v>
      </c>
      <c r="K221">
        <v>3</v>
      </c>
    </row>
    <row r="222" spans="2:11" x14ac:dyDescent="0.2">
      <c r="B222" t="s">
        <v>819</v>
      </c>
      <c r="C222" s="74" t="s">
        <v>399</v>
      </c>
      <c r="D222" s="88">
        <v>45126</v>
      </c>
      <c r="E222" t="s">
        <v>554</v>
      </c>
      <c r="F222" t="s">
        <v>549</v>
      </c>
      <c r="G222" s="79" t="s">
        <v>22</v>
      </c>
      <c r="H222" t="s">
        <v>547</v>
      </c>
      <c r="I222" t="s">
        <v>74</v>
      </c>
      <c r="J222" t="s">
        <v>152</v>
      </c>
      <c r="K222">
        <v>1</v>
      </c>
    </row>
    <row r="223" spans="2:11" x14ac:dyDescent="0.2">
      <c r="B223" t="s">
        <v>731</v>
      </c>
      <c r="C223" s="74" t="s">
        <v>400</v>
      </c>
      <c r="D223" s="88">
        <v>45126</v>
      </c>
      <c r="E223" t="s">
        <v>554</v>
      </c>
      <c r="F223" t="s">
        <v>549</v>
      </c>
      <c r="G223" s="79" t="s">
        <v>22</v>
      </c>
      <c r="H223" t="s">
        <v>547</v>
      </c>
      <c r="I223" t="s">
        <v>74</v>
      </c>
      <c r="J223" t="s">
        <v>152</v>
      </c>
      <c r="K223">
        <v>2</v>
      </c>
    </row>
    <row r="224" spans="2:11" x14ac:dyDescent="0.2">
      <c r="B224" t="s">
        <v>820</v>
      </c>
      <c r="C224" s="74" t="s">
        <v>401</v>
      </c>
      <c r="D224" s="88">
        <v>45126</v>
      </c>
      <c r="E224" t="s">
        <v>554</v>
      </c>
      <c r="F224" t="s">
        <v>549</v>
      </c>
      <c r="G224" s="79" t="s">
        <v>22</v>
      </c>
      <c r="H224" t="s">
        <v>547</v>
      </c>
      <c r="I224" t="s">
        <v>74</v>
      </c>
      <c r="J224" t="s">
        <v>152</v>
      </c>
      <c r="K224">
        <v>3</v>
      </c>
    </row>
    <row r="225" spans="2:11" x14ac:dyDescent="0.2">
      <c r="B225" t="s">
        <v>823</v>
      </c>
      <c r="C225" s="74" t="s">
        <v>402</v>
      </c>
      <c r="D225" s="88">
        <v>45126</v>
      </c>
      <c r="E225" t="s">
        <v>554</v>
      </c>
      <c r="F225" t="s">
        <v>549</v>
      </c>
      <c r="G225" s="79" t="s">
        <v>22</v>
      </c>
      <c r="H225" t="s">
        <v>547</v>
      </c>
      <c r="I225" t="s">
        <v>51</v>
      </c>
      <c r="J225" t="s">
        <v>152</v>
      </c>
      <c r="K225">
        <v>1</v>
      </c>
    </row>
    <row r="226" spans="2:11" x14ac:dyDescent="0.2">
      <c r="B226" t="s">
        <v>739</v>
      </c>
      <c r="C226" s="74" t="s">
        <v>403</v>
      </c>
      <c r="D226" s="88">
        <v>45126</v>
      </c>
      <c r="E226" t="s">
        <v>554</v>
      </c>
      <c r="F226" t="s">
        <v>549</v>
      </c>
      <c r="G226" s="79" t="s">
        <v>22</v>
      </c>
      <c r="H226" t="s">
        <v>547</v>
      </c>
      <c r="I226" t="s">
        <v>51</v>
      </c>
      <c r="J226" t="s">
        <v>152</v>
      </c>
      <c r="K226">
        <v>2</v>
      </c>
    </row>
    <row r="227" spans="2:11" x14ac:dyDescent="0.2">
      <c r="B227" t="s">
        <v>824</v>
      </c>
      <c r="C227" s="74" t="s">
        <v>404</v>
      </c>
      <c r="D227" s="88">
        <v>45126</v>
      </c>
      <c r="E227" t="s">
        <v>554</v>
      </c>
      <c r="F227" t="s">
        <v>549</v>
      </c>
      <c r="G227" s="79" t="s">
        <v>22</v>
      </c>
      <c r="H227" t="s">
        <v>547</v>
      </c>
      <c r="I227" t="s">
        <v>51</v>
      </c>
      <c r="J227" t="s">
        <v>152</v>
      </c>
      <c r="K227">
        <v>3</v>
      </c>
    </row>
    <row r="228" spans="2:11" x14ac:dyDescent="0.2">
      <c r="B228" t="s">
        <v>825</v>
      </c>
      <c r="C228" s="74" t="s">
        <v>405</v>
      </c>
      <c r="D228" s="88">
        <v>45126</v>
      </c>
      <c r="E228" t="s">
        <v>554</v>
      </c>
      <c r="F228" t="s">
        <v>549</v>
      </c>
      <c r="G228" s="79" t="s">
        <v>22</v>
      </c>
      <c r="H228" t="s">
        <v>547</v>
      </c>
      <c r="I228" t="s">
        <v>60</v>
      </c>
      <c r="J228" t="s">
        <v>152</v>
      </c>
      <c r="K228">
        <v>1</v>
      </c>
    </row>
    <row r="229" spans="2:11" x14ac:dyDescent="0.2">
      <c r="B229" t="s">
        <v>650</v>
      </c>
      <c r="C229" s="74" t="s">
        <v>406</v>
      </c>
      <c r="D229" s="88">
        <v>45126</v>
      </c>
      <c r="E229" t="s">
        <v>554</v>
      </c>
      <c r="F229" t="s">
        <v>549</v>
      </c>
      <c r="G229" s="79" t="s">
        <v>22</v>
      </c>
      <c r="H229" t="s">
        <v>547</v>
      </c>
      <c r="I229" t="s">
        <v>60</v>
      </c>
      <c r="J229" t="s">
        <v>152</v>
      </c>
      <c r="K229">
        <v>2</v>
      </c>
    </row>
    <row r="230" spans="2:11" x14ac:dyDescent="0.2">
      <c r="B230" t="s">
        <v>826</v>
      </c>
      <c r="C230" s="74" t="s">
        <v>407</v>
      </c>
      <c r="D230" s="88">
        <v>45126</v>
      </c>
      <c r="E230" t="s">
        <v>554</v>
      </c>
      <c r="F230" t="s">
        <v>549</v>
      </c>
      <c r="G230" s="79" t="s">
        <v>22</v>
      </c>
      <c r="H230" t="s">
        <v>547</v>
      </c>
      <c r="I230" t="s">
        <v>60</v>
      </c>
      <c r="J230" t="s">
        <v>152</v>
      </c>
      <c r="K230">
        <v>3</v>
      </c>
    </row>
    <row r="231" spans="2:11" x14ac:dyDescent="0.2">
      <c r="B231" t="s">
        <v>827</v>
      </c>
      <c r="C231" s="74" t="s">
        <v>408</v>
      </c>
      <c r="D231" s="88">
        <v>45126</v>
      </c>
      <c r="E231" t="s">
        <v>554</v>
      </c>
      <c r="F231" t="s">
        <v>549</v>
      </c>
      <c r="G231" s="79" t="s">
        <v>22</v>
      </c>
      <c r="H231" t="s">
        <v>547</v>
      </c>
      <c r="I231" t="s">
        <v>36</v>
      </c>
      <c r="J231" t="s">
        <v>152</v>
      </c>
      <c r="K231">
        <v>1</v>
      </c>
    </row>
    <row r="232" spans="2:11" x14ac:dyDescent="0.2">
      <c r="B232" t="s">
        <v>654</v>
      </c>
      <c r="C232" s="74" t="s">
        <v>409</v>
      </c>
      <c r="D232" s="88">
        <v>45126</v>
      </c>
      <c r="E232" t="s">
        <v>554</v>
      </c>
      <c r="F232" t="s">
        <v>549</v>
      </c>
      <c r="G232" s="79" t="s">
        <v>22</v>
      </c>
      <c r="H232" t="s">
        <v>547</v>
      </c>
      <c r="I232" t="s">
        <v>36</v>
      </c>
      <c r="J232" t="s">
        <v>152</v>
      </c>
      <c r="K232">
        <v>2</v>
      </c>
    </row>
    <row r="233" spans="2:11" x14ac:dyDescent="0.2">
      <c r="B233" t="s">
        <v>828</v>
      </c>
      <c r="C233" s="74" t="s">
        <v>410</v>
      </c>
      <c r="D233" s="88">
        <v>45126</v>
      </c>
      <c r="E233" t="s">
        <v>554</v>
      </c>
      <c r="F233" t="s">
        <v>549</v>
      </c>
      <c r="G233" s="79" t="s">
        <v>22</v>
      </c>
      <c r="H233" t="s">
        <v>547</v>
      </c>
      <c r="I233" t="s">
        <v>36</v>
      </c>
      <c r="J233" t="s">
        <v>152</v>
      </c>
      <c r="K233">
        <v>3</v>
      </c>
    </row>
    <row r="234" spans="2:11" x14ac:dyDescent="0.2">
      <c r="B234" t="s">
        <v>821</v>
      </c>
      <c r="C234" s="74" t="s">
        <v>411</v>
      </c>
      <c r="D234" s="88">
        <v>45126</v>
      </c>
      <c r="E234" t="s">
        <v>554</v>
      </c>
      <c r="F234" t="s">
        <v>549</v>
      </c>
      <c r="G234" s="79" t="s">
        <v>22</v>
      </c>
      <c r="H234" t="s">
        <v>547</v>
      </c>
      <c r="I234" t="s">
        <v>34</v>
      </c>
      <c r="J234" t="s">
        <v>152</v>
      </c>
      <c r="K234">
        <v>1</v>
      </c>
    </row>
    <row r="235" spans="2:11" x14ac:dyDescent="0.2">
      <c r="B235" t="s">
        <v>658</v>
      </c>
      <c r="C235" s="74" t="s">
        <v>412</v>
      </c>
      <c r="D235" s="88">
        <v>45126</v>
      </c>
      <c r="E235" t="s">
        <v>554</v>
      </c>
      <c r="F235" t="s">
        <v>549</v>
      </c>
      <c r="G235" s="79" t="s">
        <v>22</v>
      </c>
      <c r="H235" t="s">
        <v>547</v>
      </c>
      <c r="I235" t="s">
        <v>34</v>
      </c>
      <c r="J235" t="s">
        <v>152</v>
      </c>
      <c r="K235">
        <v>2</v>
      </c>
    </row>
    <row r="236" spans="2:11" x14ac:dyDescent="0.2">
      <c r="B236" t="s">
        <v>822</v>
      </c>
      <c r="C236" s="74" t="s">
        <v>413</v>
      </c>
      <c r="D236" s="88">
        <v>45126</v>
      </c>
      <c r="E236" t="s">
        <v>554</v>
      </c>
      <c r="F236" t="s">
        <v>549</v>
      </c>
      <c r="G236" s="79" t="s">
        <v>22</v>
      </c>
      <c r="H236" t="s">
        <v>547</v>
      </c>
      <c r="I236" t="s">
        <v>34</v>
      </c>
      <c r="J236" t="s">
        <v>152</v>
      </c>
      <c r="K236">
        <v>3</v>
      </c>
    </row>
    <row r="237" spans="2:11" x14ac:dyDescent="0.2">
      <c r="B237" t="s">
        <v>833</v>
      </c>
      <c r="C237" s="74" t="s">
        <v>414</v>
      </c>
      <c r="D237" s="88">
        <v>45128</v>
      </c>
      <c r="E237" t="s">
        <v>554</v>
      </c>
      <c r="F237" t="s">
        <v>552</v>
      </c>
      <c r="G237" s="75" t="s">
        <v>95</v>
      </c>
      <c r="H237" t="s">
        <v>543</v>
      </c>
      <c r="I237" t="s">
        <v>43</v>
      </c>
      <c r="J237" t="s">
        <v>152</v>
      </c>
      <c r="K237">
        <v>1</v>
      </c>
    </row>
    <row r="238" spans="2:11" x14ac:dyDescent="0.2">
      <c r="B238" t="s">
        <v>758</v>
      </c>
      <c r="C238" s="74" t="s">
        <v>415</v>
      </c>
      <c r="D238" s="88">
        <v>45128</v>
      </c>
      <c r="E238" t="s">
        <v>554</v>
      </c>
      <c r="F238" t="s">
        <v>552</v>
      </c>
      <c r="G238" s="75" t="s">
        <v>95</v>
      </c>
      <c r="H238" t="s">
        <v>543</v>
      </c>
      <c r="I238" t="s">
        <v>43</v>
      </c>
      <c r="J238" t="s">
        <v>152</v>
      </c>
      <c r="K238">
        <v>2</v>
      </c>
    </row>
    <row r="239" spans="2:11" x14ac:dyDescent="0.2">
      <c r="B239" t="s">
        <v>834</v>
      </c>
      <c r="C239" s="74" t="s">
        <v>416</v>
      </c>
      <c r="D239" s="88">
        <v>45128</v>
      </c>
      <c r="E239" t="s">
        <v>554</v>
      </c>
      <c r="F239" t="s">
        <v>552</v>
      </c>
      <c r="G239" s="75" t="s">
        <v>95</v>
      </c>
      <c r="H239" t="s">
        <v>543</v>
      </c>
      <c r="I239" t="s">
        <v>43</v>
      </c>
      <c r="J239" t="s">
        <v>152</v>
      </c>
      <c r="K239">
        <v>3</v>
      </c>
    </row>
    <row r="240" spans="2:11" x14ac:dyDescent="0.2">
      <c r="B240" t="s">
        <v>835</v>
      </c>
      <c r="C240" s="74" t="s">
        <v>417</v>
      </c>
      <c r="D240" s="88">
        <v>45128</v>
      </c>
      <c r="E240" t="s">
        <v>554</v>
      </c>
      <c r="F240" t="s">
        <v>552</v>
      </c>
      <c r="G240" s="75" t="s">
        <v>95</v>
      </c>
      <c r="H240" t="s">
        <v>543</v>
      </c>
      <c r="I240" t="s">
        <v>51</v>
      </c>
      <c r="J240" t="s">
        <v>152</v>
      </c>
      <c r="K240">
        <v>1</v>
      </c>
    </row>
    <row r="241" spans="2:12" x14ac:dyDescent="0.2">
      <c r="B241" t="s">
        <v>763</v>
      </c>
      <c r="C241" s="74" t="s">
        <v>418</v>
      </c>
      <c r="D241" s="88">
        <v>45128</v>
      </c>
      <c r="E241" t="s">
        <v>554</v>
      </c>
      <c r="F241" t="s">
        <v>552</v>
      </c>
      <c r="G241" s="75" t="s">
        <v>95</v>
      </c>
      <c r="H241" t="s">
        <v>543</v>
      </c>
      <c r="I241" t="s">
        <v>51</v>
      </c>
      <c r="J241" t="s">
        <v>152</v>
      </c>
      <c r="K241">
        <v>2</v>
      </c>
    </row>
    <row r="242" spans="2:12" x14ac:dyDescent="0.2">
      <c r="B242" t="s">
        <v>836</v>
      </c>
      <c r="C242" s="74" t="s">
        <v>419</v>
      </c>
      <c r="D242" s="88">
        <v>45128</v>
      </c>
      <c r="E242" t="s">
        <v>554</v>
      </c>
      <c r="F242" t="s">
        <v>552</v>
      </c>
      <c r="G242" s="75" t="s">
        <v>95</v>
      </c>
      <c r="H242" t="s">
        <v>543</v>
      </c>
      <c r="I242" t="s">
        <v>51</v>
      </c>
      <c r="J242" t="s">
        <v>152</v>
      </c>
      <c r="K242">
        <v>3</v>
      </c>
    </row>
    <row r="243" spans="2:12" x14ac:dyDescent="0.2">
      <c r="B243" t="s">
        <v>829</v>
      </c>
      <c r="C243" s="74" t="s">
        <v>420</v>
      </c>
      <c r="D243" s="88">
        <v>45128</v>
      </c>
      <c r="E243" t="s">
        <v>554</v>
      </c>
      <c r="F243" t="s">
        <v>552</v>
      </c>
      <c r="G243" s="75" t="s">
        <v>95</v>
      </c>
      <c r="H243" t="s">
        <v>543</v>
      </c>
      <c r="I243" t="s">
        <v>60</v>
      </c>
      <c r="J243" t="s">
        <v>152</v>
      </c>
      <c r="K243">
        <v>1</v>
      </c>
    </row>
    <row r="244" spans="2:12" x14ac:dyDescent="0.2">
      <c r="B244" t="s">
        <v>661</v>
      </c>
      <c r="C244" s="74" t="s">
        <v>421</v>
      </c>
      <c r="D244" s="88">
        <v>45128</v>
      </c>
      <c r="E244" t="s">
        <v>554</v>
      </c>
      <c r="F244" t="s">
        <v>552</v>
      </c>
      <c r="G244" s="75" t="s">
        <v>95</v>
      </c>
      <c r="H244" t="s">
        <v>543</v>
      </c>
      <c r="I244" t="s">
        <v>60</v>
      </c>
      <c r="J244" t="s">
        <v>152</v>
      </c>
      <c r="K244">
        <v>2</v>
      </c>
    </row>
    <row r="245" spans="2:12" x14ac:dyDescent="0.2">
      <c r="B245" t="s">
        <v>830</v>
      </c>
      <c r="C245" s="74" t="s">
        <v>422</v>
      </c>
      <c r="D245" s="88">
        <v>45128</v>
      </c>
      <c r="E245" t="s">
        <v>554</v>
      </c>
      <c r="F245" t="s">
        <v>552</v>
      </c>
      <c r="G245" s="75" t="s">
        <v>95</v>
      </c>
      <c r="H245" t="s">
        <v>543</v>
      </c>
      <c r="I245" t="s">
        <v>60</v>
      </c>
      <c r="J245" t="s">
        <v>152</v>
      </c>
      <c r="K245">
        <v>3</v>
      </c>
      <c r="L245" t="s">
        <v>937</v>
      </c>
    </row>
    <row r="246" spans="2:12" x14ac:dyDescent="0.2">
      <c r="B246" t="s">
        <v>831</v>
      </c>
      <c r="C246" s="74" t="s">
        <v>423</v>
      </c>
      <c r="D246" s="88">
        <v>45128</v>
      </c>
      <c r="E246" t="s">
        <v>554</v>
      </c>
      <c r="F246" t="s">
        <v>552</v>
      </c>
      <c r="G246" s="75" t="s">
        <v>95</v>
      </c>
      <c r="H246" t="s">
        <v>543</v>
      </c>
      <c r="I246" t="s">
        <v>36</v>
      </c>
      <c r="J246" t="s">
        <v>152</v>
      </c>
      <c r="K246">
        <v>1</v>
      </c>
    </row>
    <row r="247" spans="2:12" x14ac:dyDescent="0.2">
      <c r="B247" t="s">
        <v>664</v>
      </c>
      <c r="C247" s="74" t="s">
        <v>424</v>
      </c>
      <c r="D247" s="88">
        <v>45128</v>
      </c>
      <c r="E247" t="s">
        <v>554</v>
      </c>
      <c r="F247" t="s">
        <v>552</v>
      </c>
      <c r="G247" s="75" t="s">
        <v>95</v>
      </c>
      <c r="H247" t="s">
        <v>543</v>
      </c>
      <c r="I247" t="s">
        <v>36</v>
      </c>
      <c r="J247" t="s">
        <v>152</v>
      </c>
      <c r="K247">
        <v>2</v>
      </c>
    </row>
    <row r="248" spans="2:12" x14ac:dyDescent="0.2">
      <c r="B248" t="s">
        <v>832</v>
      </c>
      <c r="C248" s="74" t="s">
        <v>425</v>
      </c>
      <c r="D248" s="88">
        <v>45128</v>
      </c>
      <c r="E248" t="s">
        <v>554</v>
      </c>
      <c r="F248" t="s">
        <v>552</v>
      </c>
      <c r="G248" s="75" t="s">
        <v>95</v>
      </c>
      <c r="H248" t="s">
        <v>543</v>
      </c>
      <c r="I248" t="s">
        <v>36</v>
      </c>
      <c r="J248" t="s">
        <v>152</v>
      </c>
      <c r="K248">
        <v>3</v>
      </c>
    </row>
    <row r="249" spans="2:12" x14ac:dyDescent="0.2">
      <c r="B249" t="s">
        <v>837</v>
      </c>
      <c r="C249" s="74" t="s">
        <v>426</v>
      </c>
      <c r="D249" s="88">
        <v>45128</v>
      </c>
      <c r="E249" t="s">
        <v>554</v>
      </c>
      <c r="F249" t="s">
        <v>552</v>
      </c>
      <c r="G249" s="75" t="s">
        <v>95</v>
      </c>
      <c r="H249" t="s">
        <v>543</v>
      </c>
      <c r="I249" t="s">
        <v>45</v>
      </c>
      <c r="J249" t="s">
        <v>152</v>
      </c>
      <c r="K249">
        <v>1</v>
      </c>
    </row>
    <row r="250" spans="2:12" x14ac:dyDescent="0.2">
      <c r="B250" t="s">
        <v>667</v>
      </c>
      <c r="C250" s="74" t="s">
        <v>427</v>
      </c>
      <c r="D250" s="88">
        <v>45128</v>
      </c>
      <c r="E250" t="s">
        <v>554</v>
      </c>
      <c r="F250" t="s">
        <v>552</v>
      </c>
      <c r="G250" s="75" t="s">
        <v>95</v>
      </c>
      <c r="H250" t="s">
        <v>543</v>
      </c>
      <c r="I250" t="s">
        <v>45</v>
      </c>
      <c r="J250" t="s">
        <v>152</v>
      </c>
      <c r="K250">
        <v>2</v>
      </c>
    </row>
    <row r="251" spans="2:12" x14ac:dyDescent="0.2">
      <c r="B251" t="s">
        <v>838</v>
      </c>
      <c r="C251" s="74" t="s">
        <v>428</v>
      </c>
      <c r="D251" s="88">
        <v>45128</v>
      </c>
      <c r="E251" t="s">
        <v>554</v>
      </c>
      <c r="F251" t="s">
        <v>552</v>
      </c>
      <c r="G251" s="75" t="s">
        <v>95</v>
      </c>
      <c r="H251" t="s">
        <v>543</v>
      </c>
      <c r="I251" t="s">
        <v>45</v>
      </c>
      <c r="J251" t="s">
        <v>152</v>
      </c>
      <c r="K251">
        <v>3</v>
      </c>
    </row>
    <row r="252" spans="2:12" x14ac:dyDescent="0.2">
      <c r="B252" t="s">
        <v>839</v>
      </c>
      <c r="C252" s="74" t="s">
        <v>429</v>
      </c>
      <c r="D252" s="88">
        <v>45128</v>
      </c>
      <c r="E252" t="s">
        <v>554</v>
      </c>
      <c r="F252" t="s">
        <v>550</v>
      </c>
      <c r="G252" s="76" t="s">
        <v>94</v>
      </c>
      <c r="H252" t="s">
        <v>544</v>
      </c>
      <c r="I252" t="s">
        <v>43</v>
      </c>
      <c r="J252" t="s">
        <v>152</v>
      </c>
      <c r="K252">
        <v>1</v>
      </c>
    </row>
    <row r="253" spans="2:12" x14ac:dyDescent="0.2">
      <c r="B253" t="s">
        <v>840</v>
      </c>
      <c r="C253" s="74" t="s">
        <v>430</v>
      </c>
      <c r="D253" s="88">
        <v>45128</v>
      </c>
      <c r="E253" t="s">
        <v>554</v>
      </c>
      <c r="F253" t="s">
        <v>550</v>
      </c>
      <c r="G253" s="76" t="s">
        <v>94</v>
      </c>
      <c r="H253" t="s">
        <v>544</v>
      </c>
      <c r="I253" t="s">
        <v>43</v>
      </c>
      <c r="J253" t="s">
        <v>152</v>
      </c>
      <c r="K253">
        <v>2</v>
      </c>
    </row>
    <row r="254" spans="2:12" x14ac:dyDescent="0.2">
      <c r="B254" t="s">
        <v>841</v>
      </c>
      <c r="C254" s="74" t="s">
        <v>431</v>
      </c>
      <c r="D254" s="88">
        <v>45128</v>
      </c>
      <c r="E254" t="s">
        <v>554</v>
      </c>
      <c r="F254" t="s">
        <v>550</v>
      </c>
      <c r="G254" s="76" t="s">
        <v>94</v>
      </c>
      <c r="H254" t="s">
        <v>544</v>
      </c>
      <c r="I254" t="s">
        <v>43</v>
      </c>
      <c r="J254" t="s">
        <v>152</v>
      </c>
      <c r="K254">
        <v>3</v>
      </c>
    </row>
    <row r="255" spans="2:12" x14ac:dyDescent="0.2">
      <c r="B255" t="s">
        <v>842</v>
      </c>
      <c r="C255" s="74" t="s">
        <v>432</v>
      </c>
      <c r="D255" s="88">
        <v>45128</v>
      </c>
      <c r="E255" t="s">
        <v>554</v>
      </c>
      <c r="F255" t="s">
        <v>550</v>
      </c>
      <c r="G255" s="76" t="s">
        <v>94</v>
      </c>
      <c r="H255" t="s">
        <v>544</v>
      </c>
      <c r="I255" t="s">
        <v>51</v>
      </c>
      <c r="J255" t="s">
        <v>152</v>
      </c>
      <c r="K255">
        <v>1</v>
      </c>
    </row>
    <row r="256" spans="2:12" x14ac:dyDescent="0.2">
      <c r="B256" t="s">
        <v>843</v>
      </c>
      <c r="C256" s="74" t="s">
        <v>433</v>
      </c>
      <c r="D256" s="88">
        <v>45128</v>
      </c>
      <c r="E256" t="s">
        <v>554</v>
      </c>
      <c r="F256" t="s">
        <v>550</v>
      </c>
      <c r="G256" s="76" t="s">
        <v>94</v>
      </c>
      <c r="H256" t="s">
        <v>544</v>
      </c>
      <c r="I256" t="s">
        <v>51</v>
      </c>
      <c r="J256" t="s">
        <v>152</v>
      </c>
      <c r="K256">
        <v>2</v>
      </c>
    </row>
    <row r="257" spans="2:11" x14ac:dyDescent="0.2">
      <c r="B257" t="s">
        <v>844</v>
      </c>
      <c r="C257" s="74" t="s">
        <v>434</v>
      </c>
      <c r="D257" s="88">
        <v>45128</v>
      </c>
      <c r="E257" t="s">
        <v>554</v>
      </c>
      <c r="F257" t="s">
        <v>550</v>
      </c>
      <c r="G257" s="76" t="s">
        <v>94</v>
      </c>
      <c r="H257" t="s">
        <v>544</v>
      </c>
      <c r="I257" t="s">
        <v>51</v>
      </c>
      <c r="J257" t="s">
        <v>152</v>
      </c>
      <c r="K257">
        <v>3</v>
      </c>
    </row>
    <row r="258" spans="2:11" x14ac:dyDescent="0.2">
      <c r="B258" t="s">
        <v>845</v>
      </c>
      <c r="C258" s="74" t="s">
        <v>435</v>
      </c>
      <c r="D258" s="88">
        <v>45128</v>
      </c>
      <c r="E258" t="s">
        <v>554</v>
      </c>
      <c r="F258" t="s">
        <v>550</v>
      </c>
      <c r="G258" s="76" t="s">
        <v>94</v>
      </c>
      <c r="H258" t="s">
        <v>544</v>
      </c>
      <c r="I258" t="s">
        <v>60</v>
      </c>
      <c r="J258" t="s">
        <v>152</v>
      </c>
      <c r="K258">
        <v>1</v>
      </c>
    </row>
    <row r="259" spans="2:11" x14ac:dyDescent="0.2">
      <c r="B259" t="s">
        <v>670</v>
      </c>
      <c r="C259" s="74" t="s">
        <v>436</v>
      </c>
      <c r="D259" s="88">
        <v>45128</v>
      </c>
      <c r="E259" t="s">
        <v>554</v>
      </c>
      <c r="F259" t="s">
        <v>550</v>
      </c>
      <c r="G259" s="76" t="s">
        <v>94</v>
      </c>
      <c r="H259" t="s">
        <v>544</v>
      </c>
      <c r="I259" t="s">
        <v>60</v>
      </c>
      <c r="J259" t="s">
        <v>152</v>
      </c>
      <c r="K259">
        <v>2</v>
      </c>
    </row>
    <row r="260" spans="2:11" x14ac:dyDescent="0.2">
      <c r="B260" t="s">
        <v>846</v>
      </c>
      <c r="C260" s="74" t="s">
        <v>437</v>
      </c>
      <c r="D260" s="88">
        <v>45128</v>
      </c>
      <c r="E260" t="s">
        <v>554</v>
      </c>
      <c r="F260" t="s">
        <v>550</v>
      </c>
      <c r="G260" s="76" t="s">
        <v>94</v>
      </c>
      <c r="H260" t="s">
        <v>544</v>
      </c>
      <c r="I260" t="s">
        <v>60</v>
      </c>
      <c r="J260" t="s">
        <v>152</v>
      </c>
      <c r="K260">
        <v>3</v>
      </c>
    </row>
    <row r="261" spans="2:11" x14ac:dyDescent="0.2">
      <c r="B261" t="s">
        <v>847</v>
      </c>
      <c r="C261" s="74" t="s">
        <v>438</v>
      </c>
      <c r="D261" s="88">
        <v>45128</v>
      </c>
      <c r="E261" t="s">
        <v>554</v>
      </c>
      <c r="F261" t="s">
        <v>550</v>
      </c>
      <c r="G261" s="76" t="s">
        <v>94</v>
      </c>
      <c r="H261" t="s">
        <v>544</v>
      </c>
      <c r="I261" t="s">
        <v>36</v>
      </c>
      <c r="J261" t="s">
        <v>152</v>
      </c>
      <c r="K261">
        <v>1</v>
      </c>
    </row>
    <row r="262" spans="2:11" x14ac:dyDescent="0.2">
      <c r="B262" t="s">
        <v>673</v>
      </c>
      <c r="C262" s="74" t="s">
        <v>439</v>
      </c>
      <c r="D262" s="88">
        <v>45128</v>
      </c>
      <c r="E262" t="s">
        <v>554</v>
      </c>
      <c r="F262" t="s">
        <v>550</v>
      </c>
      <c r="G262" s="76" t="s">
        <v>94</v>
      </c>
      <c r="H262" t="s">
        <v>544</v>
      </c>
      <c r="I262" t="s">
        <v>36</v>
      </c>
      <c r="J262" t="s">
        <v>152</v>
      </c>
      <c r="K262">
        <v>2</v>
      </c>
    </row>
    <row r="263" spans="2:11" x14ac:dyDescent="0.2">
      <c r="B263" t="s">
        <v>848</v>
      </c>
      <c r="C263" s="74" t="s">
        <v>440</v>
      </c>
      <c r="D263" s="88">
        <v>45128</v>
      </c>
      <c r="E263" t="s">
        <v>554</v>
      </c>
      <c r="F263" t="s">
        <v>550</v>
      </c>
      <c r="G263" s="76" t="s">
        <v>94</v>
      </c>
      <c r="H263" t="s">
        <v>544</v>
      </c>
      <c r="I263" t="s">
        <v>36</v>
      </c>
      <c r="J263" t="s">
        <v>152</v>
      </c>
      <c r="K263">
        <v>3</v>
      </c>
    </row>
    <row r="264" spans="2:11" x14ac:dyDescent="0.2">
      <c r="B264" t="s">
        <v>849</v>
      </c>
      <c r="C264" s="74" t="s">
        <v>441</v>
      </c>
      <c r="D264" s="88">
        <v>45128</v>
      </c>
      <c r="E264" t="s">
        <v>554</v>
      </c>
      <c r="F264" t="s">
        <v>550</v>
      </c>
      <c r="G264" s="76" t="s">
        <v>94</v>
      </c>
      <c r="H264" t="s">
        <v>544</v>
      </c>
      <c r="I264" t="s">
        <v>45</v>
      </c>
      <c r="J264" t="s">
        <v>152</v>
      </c>
      <c r="K264">
        <v>1</v>
      </c>
    </row>
    <row r="265" spans="2:11" x14ac:dyDescent="0.2">
      <c r="B265" t="s">
        <v>676</v>
      </c>
      <c r="C265" s="74" t="s">
        <v>442</v>
      </c>
      <c r="D265" s="88">
        <v>45128</v>
      </c>
      <c r="E265" t="s">
        <v>554</v>
      </c>
      <c r="F265" t="s">
        <v>550</v>
      </c>
      <c r="G265" s="76" t="s">
        <v>94</v>
      </c>
      <c r="H265" t="s">
        <v>544</v>
      </c>
      <c r="I265" t="s">
        <v>45</v>
      </c>
      <c r="J265" t="s">
        <v>152</v>
      </c>
      <c r="K265">
        <v>2</v>
      </c>
    </row>
    <row r="266" spans="2:11" x14ac:dyDescent="0.2">
      <c r="B266" t="s">
        <v>850</v>
      </c>
      <c r="C266" s="74" t="s">
        <v>443</v>
      </c>
      <c r="D266" s="88">
        <v>45128</v>
      </c>
      <c r="E266" t="s">
        <v>554</v>
      </c>
      <c r="F266" t="s">
        <v>550</v>
      </c>
      <c r="G266" s="76" t="s">
        <v>94</v>
      </c>
      <c r="H266" t="s">
        <v>544</v>
      </c>
      <c r="I266" t="s">
        <v>45</v>
      </c>
      <c r="J266" t="s">
        <v>152</v>
      </c>
      <c r="K266">
        <v>3</v>
      </c>
    </row>
    <row r="267" spans="2:11" x14ac:dyDescent="0.2">
      <c r="B267" t="s">
        <v>851</v>
      </c>
      <c r="C267" s="74" t="s">
        <v>444</v>
      </c>
      <c r="D267" s="88">
        <v>45161</v>
      </c>
      <c r="E267" t="s">
        <v>555</v>
      </c>
      <c r="F267" t="s">
        <v>551</v>
      </c>
      <c r="G267" s="80" t="s">
        <v>16</v>
      </c>
      <c r="H267" t="s">
        <v>548</v>
      </c>
      <c r="I267" t="s">
        <v>43</v>
      </c>
      <c r="J267" t="s">
        <v>152</v>
      </c>
      <c r="K267">
        <v>1</v>
      </c>
    </row>
    <row r="268" spans="2:11" x14ac:dyDescent="0.2">
      <c r="B268" t="s">
        <v>852</v>
      </c>
      <c r="C268" s="74" t="s">
        <v>445</v>
      </c>
      <c r="D268" s="88">
        <v>45161</v>
      </c>
      <c r="E268" t="s">
        <v>555</v>
      </c>
      <c r="F268" t="s">
        <v>551</v>
      </c>
      <c r="G268" s="80" t="s">
        <v>16</v>
      </c>
      <c r="H268" t="s">
        <v>548</v>
      </c>
      <c r="I268" t="s">
        <v>43</v>
      </c>
      <c r="J268" t="s">
        <v>152</v>
      </c>
      <c r="K268">
        <v>2</v>
      </c>
    </row>
    <row r="269" spans="2:11" x14ac:dyDescent="0.2">
      <c r="B269" t="s">
        <v>559</v>
      </c>
      <c r="C269" s="74" t="s">
        <v>446</v>
      </c>
      <c r="D269" s="88">
        <v>45161</v>
      </c>
      <c r="E269" t="s">
        <v>555</v>
      </c>
      <c r="F269" t="s">
        <v>551</v>
      </c>
      <c r="G269" s="80" t="s">
        <v>16</v>
      </c>
      <c r="H269" t="s">
        <v>548</v>
      </c>
      <c r="I269" t="s">
        <v>43</v>
      </c>
      <c r="J269" t="s">
        <v>152</v>
      </c>
      <c r="K269">
        <v>3</v>
      </c>
    </row>
    <row r="270" spans="2:11" x14ac:dyDescent="0.2">
      <c r="B270" t="s">
        <v>853</v>
      </c>
      <c r="C270" s="74" t="s">
        <v>447</v>
      </c>
      <c r="D270" s="88">
        <v>45161</v>
      </c>
      <c r="E270" t="s">
        <v>555</v>
      </c>
      <c r="F270" t="s">
        <v>551</v>
      </c>
      <c r="G270" s="80" t="s">
        <v>16</v>
      </c>
      <c r="H270" t="s">
        <v>548</v>
      </c>
      <c r="I270" t="s">
        <v>74</v>
      </c>
      <c r="J270" t="s">
        <v>152</v>
      </c>
      <c r="K270">
        <v>1</v>
      </c>
    </row>
    <row r="271" spans="2:11" x14ac:dyDescent="0.2">
      <c r="B271" t="s">
        <v>854</v>
      </c>
      <c r="C271" s="74" t="s">
        <v>448</v>
      </c>
      <c r="D271" s="88">
        <v>45161</v>
      </c>
      <c r="E271" t="s">
        <v>555</v>
      </c>
      <c r="F271" t="s">
        <v>551</v>
      </c>
      <c r="G271" s="80" t="s">
        <v>16</v>
      </c>
      <c r="H271" t="s">
        <v>548</v>
      </c>
      <c r="I271" t="s">
        <v>74</v>
      </c>
      <c r="J271" t="s">
        <v>152</v>
      </c>
      <c r="K271">
        <v>2</v>
      </c>
    </row>
    <row r="272" spans="2:11" x14ac:dyDescent="0.2">
      <c r="B272" t="s">
        <v>567</v>
      </c>
      <c r="C272" s="74" t="s">
        <v>449</v>
      </c>
      <c r="D272" s="88">
        <v>45161</v>
      </c>
      <c r="E272" t="s">
        <v>555</v>
      </c>
      <c r="F272" t="s">
        <v>551</v>
      </c>
      <c r="G272" s="80" t="s">
        <v>16</v>
      </c>
      <c r="H272" t="s">
        <v>548</v>
      </c>
      <c r="I272" t="s">
        <v>74</v>
      </c>
      <c r="J272" t="s">
        <v>152</v>
      </c>
      <c r="K272">
        <v>3</v>
      </c>
    </row>
    <row r="273" spans="2:11" x14ac:dyDescent="0.2">
      <c r="B273" t="s">
        <v>855</v>
      </c>
      <c r="C273" s="74" t="s">
        <v>450</v>
      </c>
      <c r="D273" s="88">
        <v>45161</v>
      </c>
      <c r="E273" t="s">
        <v>555</v>
      </c>
      <c r="F273" t="s">
        <v>551</v>
      </c>
      <c r="G273" s="80" t="s">
        <v>16</v>
      </c>
      <c r="H273" t="s">
        <v>548</v>
      </c>
      <c r="I273" t="s">
        <v>51</v>
      </c>
      <c r="J273" t="s">
        <v>152</v>
      </c>
      <c r="K273">
        <v>1</v>
      </c>
    </row>
    <row r="274" spans="2:11" x14ac:dyDescent="0.2">
      <c r="B274" t="s">
        <v>856</v>
      </c>
      <c r="C274" s="74" t="s">
        <v>451</v>
      </c>
      <c r="D274" s="88">
        <v>45161</v>
      </c>
      <c r="E274" t="s">
        <v>555</v>
      </c>
      <c r="F274" t="s">
        <v>551</v>
      </c>
      <c r="G274" s="80" t="s">
        <v>16</v>
      </c>
      <c r="H274" t="s">
        <v>548</v>
      </c>
      <c r="I274" t="s">
        <v>51</v>
      </c>
      <c r="J274" t="s">
        <v>152</v>
      </c>
      <c r="K274">
        <v>2</v>
      </c>
    </row>
    <row r="275" spans="2:11" x14ac:dyDescent="0.2">
      <c r="B275" t="s">
        <v>571</v>
      </c>
      <c r="C275" s="74" t="s">
        <v>452</v>
      </c>
      <c r="D275" s="88">
        <v>45161</v>
      </c>
      <c r="E275" t="s">
        <v>555</v>
      </c>
      <c r="F275" t="s">
        <v>551</v>
      </c>
      <c r="G275" s="80" t="s">
        <v>16</v>
      </c>
      <c r="H275" t="s">
        <v>548</v>
      </c>
      <c r="I275" t="s">
        <v>51</v>
      </c>
      <c r="J275" t="s">
        <v>152</v>
      </c>
      <c r="K275">
        <v>3</v>
      </c>
    </row>
    <row r="276" spans="2:11" x14ac:dyDescent="0.2">
      <c r="B276" t="s">
        <v>857</v>
      </c>
      <c r="C276" s="74" t="s">
        <v>453</v>
      </c>
      <c r="D276" s="88">
        <v>45161</v>
      </c>
      <c r="E276" t="s">
        <v>555</v>
      </c>
      <c r="F276" t="s">
        <v>551</v>
      </c>
      <c r="G276" s="80" t="s">
        <v>16</v>
      </c>
      <c r="H276" t="s">
        <v>548</v>
      </c>
      <c r="I276" t="s">
        <v>60</v>
      </c>
      <c r="J276" t="s">
        <v>152</v>
      </c>
      <c r="K276">
        <v>1</v>
      </c>
    </row>
    <row r="277" spans="2:11" x14ac:dyDescent="0.2">
      <c r="B277" t="s">
        <v>858</v>
      </c>
      <c r="C277" s="74" t="s">
        <v>454</v>
      </c>
      <c r="D277" s="88">
        <v>45161</v>
      </c>
      <c r="E277" t="s">
        <v>555</v>
      </c>
      <c r="F277" t="s">
        <v>551</v>
      </c>
      <c r="G277" s="80" t="s">
        <v>16</v>
      </c>
      <c r="H277" t="s">
        <v>548</v>
      </c>
      <c r="I277" t="s">
        <v>60</v>
      </c>
      <c r="J277" t="s">
        <v>152</v>
      </c>
      <c r="K277">
        <v>2</v>
      </c>
    </row>
    <row r="278" spans="2:11" x14ac:dyDescent="0.2">
      <c r="B278" t="s">
        <v>583</v>
      </c>
      <c r="C278" s="74" t="s">
        <v>455</v>
      </c>
      <c r="D278" s="88">
        <v>45161</v>
      </c>
      <c r="E278" t="s">
        <v>555</v>
      </c>
      <c r="F278" t="s">
        <v>551</v>
      </c>
      <c r="G278" s="80" t="s">
        <v>16</v>
      </c>
      <c r="H278" t="s">
        <v>548</v>
      </c>
      <c r="I278" t="s">
        <v>60</v>
      </c>
      <c r="J278" t="s">
        <v>152</v>
      </c>
      <c r="K278">
        <v>3</v>
      </c>
    </row>
    <row r="279" spans="2:11" x14ac:dyDescent="0.2">
      <c r="B279" t="s">
        <v>859</v>
      </c>
      <c r="C279" s="74" t="s">
        <v>456</v>
      </c>
      <c r="D279" s="88">
        <v>45161</v>
      </c>
      <c r="E279" t="s">
        <v>555</v>
      </c>
      <c r="F279" t="s">
        <v>551</v>
      </c>
      <c r="G279" s="80" t="s">
        <v>16</v>
      </c>
      <c r="H279" t="s">
        <v>548</v>
      </c>
      <c r="I279" t="s">
        <v>36</v>
      </c>
      <c r="J279" t="s">
        <v>152</v>
      </c>
      <c r="K279">
        <v>1</v>
      </c>
    </row>
    <row r="280" spans="2:11" x14ac:dyDescent="0.2">
      <c r="B280" t="s">
        <v>860</v>
      </c>
      <c r="C280" s="74" t="s">
        <v>457</v>
      </c>
      <c r="D280" s="88">
        <v>45161</v>
      </c>
      <c r="E280" t="s">
        <v>555</v>
      </c>
      <c r="F280" t="s">
        <v>551</v>
      </c>
      <c r="G280" s="80" t="s">
        <v>16</v>
      </c>
      <c r="H280" t="s">
        <v>548</v>
      </c>
      <c r="I280" t="s">
        <v>36</v>
      </c>
      <c r="J280" t="s">
        <v>152</v>
      </c>
      <c r="K280">
        <v>2</v>
      </c>
    </row>
    <row r="281" spans="2:11" x14ac:dyDescent="0.2">
      <c r="B281" t="s">
        <v>587</v>
      </c>
      <c r="C281" s="74" t="s">
        <v>458</v>
      </c>
      <c r="D281" s="88">
        <v>45161</v>
      </c>
      <c r="E281" t="s">
        <v>555</v>
      </c>
      <c r="F281" t="s">
        <v>551</v>
      </c>
      <c r="G281" s="80" t="s">
        <v>16</v>
      </c>
      <c r="H281" t="s">
        <v>548</v>
      </c>
      <c r="I281" t="s">
        <v>36</v>
      </c>
      <c r="J281" t="s">
        <v>152</v>
      </c>
      <c r="K281">
        <v>3</v>
      </c>
    </row>
    <row r="282" spans="2:11" x14ac:dyDescent="0.2">
      <c r="B282" t="s">
        <v>861</v>
      </c>
      <c r="C282" s="74" t="s">
        <v>459</v>
      </c>
      <c r="D282" s="88">
        <v>45161</v>
      </c>
      <c r="E282" t="s">
        <v>555</v>
      </c>
      <c r="F282" t="s">
        <v>551</v>
      </c>
      <c r="G282" s="80" t="s">
        <v>16</v>
      </c>
      <c r="H282" t="s">
        <v>548</v>
      </c>
      <c r="I282" t="s">
        <v>45</v>
      </c>
      <c r="J282" t="s">
        <v>152</v>
      </c>
      <c r="K282">
        <v>1</v>
      </c>
    </row>
    <row r="283" spans="2:11" x14ac:dyDescent="0.2">
      <c r="B283" t="s">
        <v>862</v>
      </c>
      <c r="C283" s="74" t="s">
        <v>460</v>
      </c>
      <c r="D283" s="88">
        <v>45161</v>
      </c>
      <c r="E283" t="s">
        <v>555</v>
      </c>
      <c r="F283" t="s">
        <v>551</v>
      </c>
      <c r="G283" s="80" t="s">
        <v>16</v>
      </c>
      <c r="H283" t="s">
        <v>548</v>
      </c>
      <c r="I283" t="s">
        <v>45</v>
      </c>
      <c r="J283" t="s">
        <v>152</v>
      </c>
      <c r="K283">
        <v>2</v>
      </c>
    </row>
    <row r="284" spans="2:11" x14ac:dyDescent="0.2">
      <c r="B284" t="s">
        <v>591</v>
      </c>
      <c r="C284" s="74" t="s">
        <v>461</v>
      </c>
      <c r="D284" s="88">
        <v>45161</v>
      </c>
      <c r="E284" t="s">
        <v>555</v>
      </c>
      <c r="F284" t="s">
        <v>551</v>
      </c>
      <c r="G284" s="80" t="s">
        <v>16</v>
      </c>
      <c r="H284" t="s">
        <v>548</v>
      </c>
      <c r="I284" t="s">
        <v>45</v>
      </c>
      <c r="J284" t="s">
        <v>152</v>
      </c>
      <c r="K284">
        <v>3</v>
      </c>
    </row>
    <row r="285" spans="2:11" x14ac:dyDescent="0.2">
      <c r="B285" t="s">
        <v>863</v>
      </c>
      <c r="C285" s="74" t="s">
        <v>462</v>
      </c>
      <c r="D285" s="88">
        <v>45159</v>
      </c>
      <c r="E285" t="s">
        <v>555</v>
      </c>
      <c r="F285" t="s">
        <v>8</v>
      </c>
      <c r="G285" s="77" t="s">
        <v>9</v>
      </c>
      <c r="H285" t="s">
        <v>545</v>
      </c>
      <c r="I285" t="s">
        <v>43</v>
      </c>
      <c r="J285" t="s">
        <v>152</v>
      </c>
      <c r="K285">
        <v>1</v>
      </c>
    </row>
    <row r="286" spans="2:11" x14ac:dyDescent="0.2">
      <c r="B286" t="s">
        <v>864</v>
      </c>
      <c r="C286" s="74" t="s">
        <v>463</v>
      </c>
      <c r="D286" s="88">
        <v>45159</v>
      </c>
      <c r="E286" t="s">
        <v>555</v>
      </c>
      <c r="F286" t="s">
        <v>8</v>
      </c>
      <c r="G286" s="77" t="s">
        <v>9</v>
      </c>
      <c r="H286" t="s">
        <v>545</v>
      </c>
      <c r="I286" t="s">
        <v>43</v>
      </c>
      <c r="J286" t="s">
        <v>152</v>
      </c>
      <c r="K286">
        <v>2</v>
      </c>
    </row>
    <row r="287" spans="2:11" x14ac:dyDescent="0.2">
      <c r="B287" t="s">
        <v>607</v>
      </c>
      <c r="C287" s="74" t="s">
        <v>464</v>
      </c>
      <c r="D287" s="88">
        <v>45159</v>
      </c>
      <c r="E287" t="s">
        <v>555</v>
      </c>
      <c r="F287" t="s">
        <v>8</v>
      </c>
      <c r="G287" s="77" t="s">
        <v>9</v>
      </c>
      <c r="H287" t="s">
        <v>545</v>
      </c>
      <c r="I287" t="s">
        <v>43</v>
      </c>
      <c r="J287" t="s">
        <v>152</v>
      </c>
      <c r="K287">
        <v>3</v>
      </c>
    </row>
    <row r="288" spans="2:11" x14ac:dyDescent="0.2">
      <c r="B288" t="s">
        <v>865</v>
      </c>
      <c r="C288" s="74" t="s">
        <v>465</v>
      </c>
      <c r="D288" s="88">
        <v>45159</v>
      </c>
      <c r="E288" t="s">
        <v>555</v>
      </c>
      <c r="F288" t="s">
        <v>8</v>
      </c>
      <c r="G288" s="77" t="s">
        <v>9</v>
      </c>
      <c r="H288" t="s">
        <v>545</v>
      </c>
      <c r="I288" t="s">
        <v>74</v>
      </c>
      <c r="J288" t="s">
        <v>152</v>
      </c>
      <c r="K288">
        <v>1</v>
      </c>
    </row>
    <row r="289" spans="2:11" x14ac:dyDescent="0.2">
      <c r="B289" t="s">
        <v>866</v>
      </c>
      <c r="C289" s="74" t="s">
        <v>466</v>
      </c>
      <c r="D289" s="88">
        <v>45159</v>
      </c>
      <c r="E289" t="s">
        <v>555</v>
      </c>
      <c r="F289" t="s">
        <v>8</v>
      </c>
      <c r="G289" s="77" t="s">
        <v>9</v>
      </c>
      <c r="H289" t="s">
        <v>545</v>
      </c>
      <c r="I289" t="s">
        <v>74</v>
      </c>
      <c r="J289" t="s">
        <v>152</v>
      </c>
      <c r="K289">
        <v>2</v>
      </c>
    </row>
    <row r="290" spans="2:11" x14ac:dyDescent="0.2">
      <c r="B290" t="s">
        <v>614</v>
      </c>
      <c r="C290" s="74" t="s">
        <v>467</v>
      </c>
      <c r="D290" s="88">
        <v>45159</v>
      </c>
      <c r="E290" t="s">
        <v>555</v>
      </c>
      <c r="F290" t="s">
        <v>8</v>
      </c>
      <c r="G290" s="77" t="s">
        <v>9</v>
      </c>
      <c r="H290" t="s">
        <v>545</v>
      </c>
      <c r="I290" t="s">
        <v>74</v>
      </c>
      <c r="J290" t="s">
        <v>152</v>
      </c>
      <c r="K290">
        <v>3</v>
      </c>
    </row>
    <row r="291" spans="2:11" x14ac:dyDescent="0.2">
      <c r="B291" t="s">
        <v>867</v>
      </c>
      <c r="C291" s="74" t="s">
        <v>468</v>
      </c>
      <c r="D291" s="88">
        <v>45159</v>
      </c>
      <c r="E291" t="s">
        <v>555</v>
      </c>
      <c r="F291" t="s">
        <v>8</v>
      </c>
      <c r="G291" s="77" t="s">
        <v>9</v>
      </c>
      <c r="H291" t="s">
        <v>545</v>
      </c>
      <c r="I291" t="s">
        <v>51</v>
      </c>
      <c r="J291" t="s">
        <v>152</v>
      </c>
      <c r="K291">
        <v>1</v>
      </c>
    </row>
    <row r="292" spans="2:11" x14ac:dyDescent="0.2">
      <c r="B292" t="s">
        <v>868</v>
      </c>
      <c r="C292" s="74" t="s">
        <v>469</v>
      </c>
      <c r="D292" s="88">
        <v>45159</v>
      </c>
      <c r="E292" t="s">
        <v>555</v>
      </c>
      <c r="F292" t="s">
        <v>8</v>
      </c>
      <c r="G292" s="77" t="s">
        <v>9</v>
      </c>
      <c r="H292" t="s">
        <v>545</v>
      </c>
      <c r="I292" t="s">
        <v>51</v>
      </c>
      <c r="J292" t="s">
        <v>152</v>
      </c>
      <c r="K292">
        <v>2</v>
      </c>
    </row>
    <row r="293" spans="2:11" x14ac:dyDescent="0.2">
      <c r="B293" t="s">
        <v>623</v>
      </c>
      <c r="C293" s="74" t="s">
        <v>470</v>
      </c>
      <c r="D293" s="88">
        <v>45159</v>
      </c>
      <c r="E293" t="s">
        <v>555</v>
      </c>
      <c r="F293" t="s">
        <v>8</v>
      </c>
      <c r="G293" s="77" t="s">
        <v>9</v>
      </c>
      <c r="H293" t="s">
        <v>545</v>
      </c>
      <c r="I293" t="s">
        <v>51</v>
      </c>
      <c r="J293" t="s">
        <v>152</v>
      </c>
      <c r="K293">
        <v>3</v>
      </c>
    </row>
    <row r="294" spans="2:11" x14ac:dyDescent="0.2">
      <c r="B294" t="s">
        <v>869</v>
      </c>
      <c r="C294" s="74" t="s">
        <v>471</v>
      </c>
      <c r="D294" s="88">
        <v>45159</v>
      </c>
      <c r="E294" t="s">
        <v>555</v>
      </c>
      <c r="F294" t="s">
        <v>8</v>
      </c>
      <c r="G294" s="77" t="s">
        <v>9</v>
      </c>
      <c r="H294" t="s">
        <v>545</v>
      </c>
      <c r="I294" t="s">
        <v>60</v>
      </c>
      <c r="J294" t="s">
        <v>152</v>
      </c>
      <c r="K294">
        <v>1</v>
      </c>
    </row>
    <row r="295" spans="2:11" x14ac:dyDescent="0.2">
      <c r="B295" t="s">
        <v>870</v>
      </c>
      <c r="C295" s="74" t="s">
        <v>472</v>
      </c>
      <c r="D295" s="88">
        <v>45159</v>
      </c>
      <c r="E295" t="s">
        <v>555</v>
      </c>
      <c r="F295" t="s">
        <v>8</v>
      </c>
      <c r="G295" s="77" t="s">
        <v>9</v>
      </c>
      <c r="H295" t="s">
        <v>545</v>
      </c>
      <c r="I295" t="s">
        <v>60</v>
      </c>
      <c r="J295" t="s">
        <v>152</v>
      </c>
      <c r="K295">
        <v>2</v>
      </c>
    </row>
    <row r="296" spans="2:11" x14ac:dyDescent="0.2">
      <c r="B296" t="s">
        <v>631</v>
      </c>
      <c r="C296" s="74" t="s">
        <v>473</v>
      </c>
      <c r="D296" s="88">
        <v>45159</v>
      </c>
      <c r="E296" t="s">
        <v>555</v>
      </c>
      <c r="F296" t="s">
        <v>8</v>
      </c>
      <c r="G296" s="77" t="s">
        <v>9</v>
      </c>
      <c r="H296" t="s">
        <v>545</v>
      </c>
      <c r="I296" t="s">
        <v>60</v>
      </c>
      <c r="J296" t="s">
        <v>152</v>
      </c>
      <c r="K296">
        <v>3</v>
      </c>
    </row>
    <row r="297" spans="2:11" x14ac:dyDescent="0.2">
      <c r="B297" t="s">
        <v>871</v>
      </c>
      <c r="C297" s="74" t="s">
        <v>474</v>
      </c>
      <c r="D297" s="88">
        <v>45159</v>
      </c>
      <c r="E297" t="s">
        <v>555</v>
      </c>
      <c r="F297" t="s">
        <v>8</v>
      </c>
      <c r="G297" s="77" t="s">
        <v>9</v>
      </c>
      <c r="H297" t="s">
        <v>545</v>
      </c>
      <c r="I297" t="s">
        <v>36</v>
      </c>
      <c r="J297" t="s">
        <v>152</v>
      </c>
      <c r="K297">
        <v>1</v>
      </c>
    </row>
    <row r="298" spans="2:11" x14ac:dyDescent="0.2">
      <c r="B298" t="s">
        <v>872</v>
      </c>
      <c r="C298" s="74" t="s">
        <v>475</v>
      </c>
      <c r="D298" s="88">
        <v>45159</v>
      </c>
      <c r="E298" t="s">
        <v>555</v>
      </c>
      <c r="F298" t="s">
        <v>8</v>
      </c>
      <c r="G298" s="77" t="s">
        <v>9</v>
      </c>
      <c r="H298" t="s">
        <v>545</v>
      </c>
      <c r="I298" t="s">
        <v>36</v>
      </c>
      <c r="J298" t="s">
        <v>152</v>
      </c>
      <c r="K298">
        <v>2</v>
      </c>
    </row>
    <row r="299" spans="2:11" x14ac:dyDescent="0.2">
      <c r="B299" t="s">
        <v>635</v>
      </c>
      <c r="C299" s="74" t="s">
        <v>476</v>
      </c>
      <c r="D299" s="88">
        <v>45159</v>
      </c>
      <c r="E299" t="s">
        <v>555</v>
      </c>
      <c r="F299" t="s">
        <v>8</v>
      </c>
      <c r="G299" s="77" t="s">
        <v>9</v>
      </c>
      <c r="H299" t="s">
        <v>545</v>
      </c>
      <c r="I299" t="s">
        <v>36</v>
      </c>
      <c r="J299" t="s">
        <v>152</v>
      </c>
      <c r="K299">
        <v>3</v>
      </c>
    </row>
    <row r="300" spans="2:11" x14ac:dyDescent="0.2">
      <c r="B300" t="s">
        <v>873</v>
      </c>
      <c r="C300" s="74" t="s">
        <v>477</v>
      </c>
      <c r="D300" s="88">
        <v>45159</v>
      </c>
      <c r="E300" t="s">
        <v>555</v>
      </c>
      <c r="F300" t="s">
        <v>8</v>
      </c>
      <c r="G300" s="77" t="s">
        <v>9</v>
      </c>
      <c r="H300" t="s">
        <v>545</v>
      </c>
      <c r="I300" t="s">
        <v>45</v>
      </c>
      <c r="J300" t="s">
        <v>152</v>
      </c>
      <c r="K300">
        <v>1</v>
      </c>
    </row>
    <row r="301" spans="2:11" x14ac:dyDescent="0.2">
      <c r="B301" t="s">
        <v>874</v>
      </c>
      <c r="C301" s="74" t="s">
        <v>478</v>
      </c>
      <c r="D301" s="88">
        <v>45159</v>
      </c>
      <c r="E301" t="s">
        <v>555</v>
      </c>
      <c r="F301" t="s">
        <v>8</v>
      </c>
      <c r="G301" s="77" t="s">
        <v>9</v>
      </c>
      <c r="H301" t="s">
        <v>545</v>
      </c>
      <c r="I301" t="s">
        <v>45</v>
      </c>
      <c r="J301" t="s">
        <v>152</v>
      </c>
      <c r="K301">
        <v>2</v>
      </c>
    </row>
    <row r="302" spans="2:11" x14ac:dyDescent="0.2">
      <c r="B302" t="s">
        <v>639</v>
      </c>
      <c r="C302" s="74" t="s">
        <v>479</v>
      </c>
      <c r="D302" s="88">
        <v>45159</v>
      </c>
      <c r="E302" t="s">
        <v>555</v>
      </c>
      <c r="F302" t="s">
        <v>8</v>
      </c>
      <c r="G302" s="77" t="s">
        <v>9</v>
      </c>
      <c r="H302" t="s">
        <v>545</v>
      </c>
      <c r="I302" t="s">
        <v>45</v>
      </c>
      <c r="J302" t="s">
        <v>152</v>
      </c>
      <c r="K302">
        <v>3</v>
      </c>
    </row>
    <row r="303" spans="2:11" x14ac:dyDescent="0.2">
      <c r="B303" t="s">
        <v>875</v>
      </c>
      <c r="C303" s="74" t="s">
        <v>480</v>
      </c>
      <c r="D303" s="88">
        <v>45159</v>
      </c>
      <c r="E303" t="s">
        <v>555</v>
      </c>
      <c r="F303" t="s">
        <v>8</v>
      </c>
      <c r="G303" s="77" t="s">
        <v>9</v>
      </c>
      <c r="H303" t="s">
        <v>545</v>
      </c>
      <c r="I303" t="s">
        <v>62</v>
      </c>
      <c r="J303" t="s">
        <v>152</v>
      </c>
      <c r="K303">
        <v>1</v>
      </c>
    </row>
    <row r="304" spans="2:11" x14ac:dyDescent="0.2">
      <c r="B304" t="s">
        <v>876</v>
      </c>
      <c r="C304" s="74" t="s">
        <v>481</v>
      </c>
      <c r="D304" s="88">
        <v>45159</v>
      </c>
      <c r="E304" t="s">
        <v>555</v>
      </c>
      <c r="F304" t="s">
        <v>8</v>
      </c>
      <c r="G304" s="77" t="s">
        <v>9</v>
      </c>
      <c r="H304" t="s">
        <v>545</v>
      </c>
      <c r="I304" t="s">
        <v>62</v>
      </c>
      <c r="J304" t="s">
        <v>152</v>
      </c>
      <c r="K304">
        <v>2</v>
      </c>
    </row>
    <row r="305" spans="2:11" x14ac:dyDescent="0.2">
      <c r="B305" t="s">
        <v>695</v>
      </c>
      <c r="C305" s="74" t="s">
        <v>482</v>
      </c>
      <c r="D305" s="88">
        <v>45159</v>
      </c>
      <c r="E305" t="s">
        <v>555</v>
      </c>
      <c r="F305" t="s">
        <v>8</v>
      </c>
      <c r="G305" s="77" t="s">
        <v>9</v>
      </c>
      <c r="H305" t="s">
        <v>545</v>
      </c>
      <c r="I305" t="s">
        <v>62</v>
      </c>
      <c r="J305" t="s">
        <v>152</v>
      </c>
      <c r="K305">
        <v>3</v>
      </c>
    </row>
    <row r="306" spans="2:11" x14ac:dyDescent="0.2">
      <c r="B306" t="s">
        <v>877</v>
      </c>
      <c r="C306" s="74" t="s">
        <v>483</v>
      </c>
      <c r="D306" s="88">
        <v>45159</v>
      </c>
      <c r="E306" t="s">
        <v>555</v>
      </c>
      <c r="F306" t="s">
        <v>90</v>
      </c>
      <c r="G306" s="78" t="s">
        <v>96</v>
      </c>
      <c r="H306" t="s">
        <v>546</v>
      </c>
      <c r="I306" t="s">
        <v>51</v>
      </c>
      <c r="J306" t="s">
        <v>152</v>
      </c>
      <c r="K306">
        <v>1</v>
      </c>
    </row>
    <row r="307" spans="2:11" x14ac:dyDescent="0.2">
      <c r="B307" t="s">
        <v>878</v>
      </c>
      <c r="C307" s="74" t="s">
        <v>484</v>
      </c>
      <c r="D307" s="88">
        <v>45159</v>
      </c>
      <c r="E307" t="s">
        <v>555</v>
      </c>
      <c r="F307" t="s">
        <v>90</v>
      </c>
      <c r="G307" s="78" t="s">
        <v>96</v>
      </c>
      <c r="H307" t="s">
        <v>546</v>
      </c>
      <c r="I307" t="s">
        <v>51</v>
      </c>
      <c r="J307" t="s">
        <v>152</v>
      </c>
      <c r="K307">
        <v>2</v>
      </c>
    </row>
    <row r="308" spans="2:11" x14ac:dyDescent="0.2">
      <c r="B308" t="s">
        <v>706</v>
      </c>
      <c r="C308" s="74" t="s">
        <v>485</v>
      </c>
      <c r="D308" s="88">
        <v>45159</v>
      </c>
      <c r="E308" t="s">
        <v>555</v>
      </c>
      <c r="F308" t="s">
        <v>90</v>
      </c>
      <c r="G308" s="78" t="s">
        <v>96</v>
      </c>
      <c r="H308" t="s">
        <v>546</v>
      </c>
      <c r="I308" t="s">
        <v>51</v>
      </c>
      <c r="J308" t="s">
        <v>152</v>
      </c>
      <c r="K308">
        <v>3</v>
      </c>
    </row>
    <row r="309" spans="2:11" x14ac:dyDescent="0.2">
      <c r="B309" t="s">
        <v>879</v>
      </c>
      <c r="C309" s="74" t="s">
        <v>486</v>
      </c>
      <c r="D309" s="88">
        <v>45159</v>
      </c>
      <c r="E309" t="s">
        <v>555</v>
      </c>
      <c r="F309" t="s">
        <v>90</v>
      </c>
      <c r="G309" s="78" t="s">
        <v>96</v>
      </c>
      <c r="H309" t="s">
        <v>546</v>
      </c>
      <c r="I309" t="s">
        <v>60</v>
      </c>
      <c r="J309" t="s">
        <v>152</v>
      </c>
      <c r="K309">
        <v>1</v>
      </c>
    </row>
    <row r="310" spans="2:11" x14ac:dyDescent="0.2">
      <c r="B310" t="s">
        <v>880</v>
      </c>
      <c r="C310" s="74" t="s">
        <v>487</v>
      </c>
      <c r="D310" s="88">
        <v>45159</v>
      </c>
      <c r="E310" t="s">
        <v>555</v>
      </c>
      <c r="F310" t="s">
        <v>90</v>
      </c>
      <c r="G310" s="78" t="s">
        <v>96</v>
      </c>
      <c r="H310" t="s">
        <v>546</v>
      </c>
      <c r="I310" t="s">
        <v>60</v>
      </c>
      <c r="J310" t="s">
        <v>152</v>
      </c>
      <c r="K310">
        <v>2</v>
      </c>
    </row>
    <row r="311" spans="2:11" x14ac:dyDescent="0.2">
      <c r="B311" t="s">
        <v>643</v>
      </c>
      <c r="C311" s="74" t="s">
        <v>488</v>
      </c>
      <c r="D311" s="88">
        <v>45159</v>
      </c>
      <c r="E311" t="s">
        <v>555</v>
      </c>
      <c r="F311" t="s">
        <v>90</v>
      </c>
      <c r="G311" s="78" t="s">
        <v>96</v>
      </c>
      <c r="H311" t="s">
        <v>546</v>
      </c>
      <c r="I311" t="s">
        <v>60</v>
      </c>
      <c r="J311" t="s">
        <v>152</v>
      </c>
      <c r="K311">
        <v>3</v>
      </c>
    </row>
    <row r="312" spans="2:11" x14ac:dyDescent="0.2">
      <c r="B312" t="s">
        <v>881</v>
      </c>
      <c r="C312" s="74" t="s">
        <v>489</v>
      </c>
      <c r="D312" s="88">
        <v>45159</v>
      </c>
      <c r="E312" t="s">
        <v>555</v>
      </c>
      <c r="F312" t="s">
        <v>90</v>
      </c>
      <c r="G312" s="78" t="s">
        <v>96</v>
      </c>
      <c r="H312" t="s">
        <v>546</v>
      </c>
      <c r="I312" t="s">
        <v>45</v>
      </c>
      <c r="J312" t="s">
        <v>152</v>
      </c>
      <c r="K312">
        <v>1</v>
      </c>
    </row>
    <row r="313" spans="2:11" x14ac:dyDescent="0.2">
      <c r="B313" t="s">
        <v>882</v>
      </c>
      <c r="C313" s="74" t="s">
        <v>490</v>
      </c>
      <c r="D313" s="88">
        <v>45159</v>
      </c>
      <c r="E313" t="s">
        <v>555</v>
      </c>
      <c r="F313" t="s">
        <v>90</v>
      </c>
      <c r="G313" s="78" t="s">
        <v>96</v>
      </c>
      <c r="H313" t="s">
        <v>546</v>
      </c>
      <c r="I313" t="s">
        <v>45</v>
      </c>
      <c r="J313" t="s">
        <v>152</v>
      </c>
      <c r="K313">
        <v>2</v>
      </c>
    </row>
    <row r="314" spans="2:11" x14ac:dyDescent="0.2">
      <c r="B314" t="s">
        <v>647</v>
      </c>
      <c r="C314" s="74" t="s">
        <v>491</v>
      </c>
      <c r="D314" s="88">
        <v>45159</v>
      </c>
      <c r="E314" t="s">
        <v>555</v>
      </c>
      <c r="F314" t="s">
        <v>90</v>
      </c>
      <c r="G314" s="78" t="s">
        <v>96</v>
      </c>
      <c r="H314" t="s">
        <v>546</v>
      </c>
      <c r="I314" t="s">
        <v>45</v>
      </c>
      <c r="J314" t="s">
        <v>152</v>
      </c>
      <c r="K314">
        <v>3</v>
      </c>
    </row>
    <row r="315" spans="2:11" x14ac:dyDescent="0.2">
      <c r="B315" t="s">
        <v>883</v>
      </c>
      <c r="C315" s="74" t="s">
        <v>492</v>
      </c>
      <c r="D315" s="88">
        <v>45159</v>
      </c>
      <c r="E315" t="s">
        <v>555</v>
      </c>
      <c r="F315" t="s">
        <v>90</v>
      </c>
      <c r="G315" s="78" t="s">
        <v>96</v>
      </c>
      <c r="H315" t="s">
        <v>546</v>
      </c>
      <c r="I315" t="s">
        <v>62</v>
      </c>
      <c r="J315" t="s">
        <v>152</v>
      </c>
      <c r="K315">
        <v>1</v>
      </c>
    </row>
    <row r="316" spans="2:11" x14ac:dyDescent="0.2">
      <c r="B316" t="s">
        <v>884</v>
      </c>
      <c r="C316" s="74" t="s">
        <v>493</v>
      </c>
      <c r="D316" s="88">
        <v>45159</v>
      </c>
      <c r="E316" t="s">
        <v>555</v>
      </c>
      <c r="F316" t="s">
        <v>90</v>
      </c>
      <c r="G316" s="78" t="s">
        <v>96</v>
      </c>
      <c r="H316" t="s">
        <v>546</v>
      </c>
      <c r="I316" t="s">
        <v>62</v>
      </c>
      <c r="J316" t="s">
        <v>152</v>
      </c>
      <c r="K316">
        <v>2</v>
      </c>
    </row>
    <row r="317" spans="2:11" x14ac:dyDescent="0.2">
      <c r="B317" t="s">
        <v>699</v>
      </c>
      <c r="C317" s="74" t="s">
        <v>494</v>
      </c>
      <c r="D317" s="88">
        <v>45159</v>
      </c>
      <c r="E317" t="s">
        <v>555</v>
      </c>
      <c r="F317" t="s">
        <v>90</v>
      </c>
      <c r="G317" s="78" t="s">
        <v>96</v>
      </c>
      <c r="H317" t="s">
        <v>546</v>
      </c>
      <c r="I317" t="s">
        <v>62</v>
      </c>
      <c r="J317" t="s">
        <v>152</v>
      </c>
      <c r="K317">
        <v>3</v>
      </c>
    </row>
    <row r="318" spans="2:11" x14ac:dyDescent="0.2">
      <c r="B318" t="s">
        <v>885</v>
      </c>
      <c r="C318" s="74" t="s">
        <v>495</v>
      </c>
      <c r="D318" s="88">
        <v>45159</v>
      </c>
      <c r="E318" t="s">
        <v>555</v>
      </c>
      <c r="F318" t="s">
        <v>549</v>
      </c>
      <c r="G318" s="79" t="s">
        <v>22</v>
      </c>
      <c r="H318" t="s">
        <v>547</v>
      </c>
      <c r="I318" t="s">
        <v>43</v>
      </c>
      <c r="J318" t="s">
        <v>152</v>
      </c>
      <c r="K318">
        <v>1</v>
      </c>
    </row>
    <row r="319" spans="2:11" x14ac:dyDescent="0.2">
      <c r="B319" t="s">
        <v>886</v>
      </c>
      <c r="C319" s="74" t="s">
        <v>496</v>
      </c>
      <c r="D319" s="88">
        <v>45159</v>
      </c>
      <c r="E319" t="s">
        <v>555</v>
      </c>
      <c r="F319" t="s">
        <v>549</v>
      </c>
      <c r="G319" s="79" t="s">
        <v>22</v>
      </c>
      <c r="H319" t="s">
        <v>547</v>
      </c>
      <c r="I319" t="s">
        <v>43</v>
      </c>
      <c r="J319" t="s">
        <v>152</v>
      </c>
      <c r="K319">
        <v>2</v>
      </c>
    </row>
    <row r="320" spans="2:11" x14ac:dyDescent="0.2">
      <c r="B320" t="s">
        <v>724</v>
      </c>
      <c r="C320" s="74" t="s">
        <v>497</v>
      </c>
      <c r="D320" s="88">
        <v>45159</v>
      </c>
      <c r="E320" t="s">
        <v>555</v>
      </c>
      <c r="F320" t="s">
        <v>549</v>
      </c>
      <c r="G320" s="79" t="s">
        <v>22</v>
      </c>
      <c r="H320" t="s">
        <v>547</v>
      </c>
      <c r="I320" t="s">
        <v>43</v>
      </c>
      <c r="J320" t="s">
        <v>152</v>
      </c>
      <c r="K320">
        <v>3</v>
      </c>
    </row>
    <row r="321" spans="2:11" x14ac:dyDescent="0.2">
      <c r="B321" t="s">
        <v>887</v>
      </c>
      <c r="C321" s="74" t="s">
        <v>498</v>
      </c>
      <c r="D321" s="88">
        <v>45159</v>
      </c>
      <c r="E321" t="s">
        <v>555</v>
      </c>
      <c r="F321" t="s">
        <v>549</v>
      </c>
      <c r="G321" s="79" t="s">
        <v>22</v>
      </c>
      <c r="H321" t="s">
        <v>547</v>
      </c>
      <c r="I321" t="s">
        <v>74</v>
      </c>
      <c r="J321" t="s">
        <v>152</v>
      </c>
      <c r="K321">
        <v>1</v>
      </c>
    </row>
    <row r="322" spans="2:11" x14ac:dyDescent="0.2">
      <c r="B322" t="s">
        <v>888</v>
      </c>
      <c r="C322" s="74" t="s">
        <v>499</v>
      </c>
      <c r="D322" s="88">
        <v>45159</v>
      </c>
      <c r="E322" t="s">
        <v>555</v>
      </c>
      <c r="F322" t="s">
        <v>549</v>
      </c>
      <c r="G322" s="79" t="s">
        <v>22</v>
      </c>
      <c r="H322" t="s">
        <v>547</v>
      </c>
      <c r="I322" t="s">
        <v>74</v>
      </c>
      <c r="J322" t="s">
        <v>152</v>
      </c>
      <c r="K322">
        <v>2</v>
      </c>
    </row>
    <row r="323" spans="2:11" x14ac:dyDescent="0.2">
      <c r="B323" t="s">
        <v>732</v>
      </c>
      <c r="C323" s="74" t="s">
        <v>500</v>
      </c>
      <c r="D323" s="88">
        <v>45159</v>
      </c>
      <c r="E323" t="s">
        <v>555</v>
      </c>
      <c r="F323" t="s">
        <v>549</v>
      </c>
      <c r="G323" s="79" t="s">
        <v>22</v>
      </c>
      <c r="H323" t="s">
        <v>547</v>
      </c>
      <c r="I323" t="s">
        <v>74</v>
      </c>
      <c r="J323" t="s">
        <v>152</v>
      </c>
      <c r="K323">
        <v>3</v>
      </c>
    </row>
    <row r="324" spans="2:11" x14ac:dyDescent="0.2">
      <c r="B324" t="s">
        <v>889</v>
      </c>
      <c r="C324" s="74" t="s">
        <v>501</v>
      </c>
      <c r="D324" s="88">
        <v>45159</v>
      </c>
      <c r="E324" t="s">
        <v>555</v>
      </c>
      <c r="F324" t="s">
        <v>549</v>
      </c>
      <c r="G324" s="79" t="s">
        <v>22</v>
      </c>
      <c r="H324" t="s">
        <v>547</v>
      </c>
      <c r="I324" t="s">
        <v>51</v>
      </c>
      <c r="J324" t="s">
        <v>152</v>
      </c>
      <c r="K324">
        <v>1</v>
      </c>
    </row>
    <row r="325" spans="2:11" x14ac:dyDescent="0.2">
      <c r="B325" t="s">
        <v>890</v>
      </c>
      <c r="C325" s="74" t="s">
        <v>502</v>
      </c>
      <c r="D325" s="88">
        <v>45159</v>
      </c>
      <c r="E325" t="s">
        <v>555</v>
      </c>
      <c r="F325" t="s">
        <v>549</v>
      </c>
      <c r="G325" s="79" t="s">
        <v>22</v>
      </c>
      <c r="H325" t="s">
        <v>547</v>
      </c>
      <c r="I325" t="s">
        <v>51</v>
      </c>
      <c r="J325" t="s">
        <v>152</v>
      </c>
      <c r="K325">
        <v>2</v>
      </c>
    </row>
    <row r="326" spans="2:11" x14ac:dyDescent="0.2">
      <c r="B326" t="s">
        <v>740</v>
      </c>
      <c r="C326" s="74" t="s">
        <v>503</v>
      </c>
      <c r="D326" s="88">
        <v>45159</v>
      </c>
      <c r="E326" t="s">
        <v>555</v>
      </c>
      <c r="F326" t="s">
        <v>549</v>
      </c>
      <c r="G326" s="79" t="s">
        <v>22</v>
      </c>
      <c r="H326" t="s">
        <v>547</v>
      </c>
      <c r="I326" t="s">
        <v>51</v>
      </c>
      <c r="J326" t="s">
        <v>152</v>
      </c>
      <c r="K326">
        <v>3</v>
      </c>
    </row>
    <row r="327" spans="2:11" x14ac:dyDescent="0.2">
      <c r="B327" t="s">
        <v>891</v>
      </c>
      <c r="C327" s="74" t="s">
        <v>504</v>
      </c>
      <c r="D327" s="88">
        <v>45159</v>
      </c>
      <c r="E327" t="s">
        <v>555</v>
      </c>
      <c r="F327" t="s">
        <v>549</v>
      </c>
      <c r="G327" s="79" t="s">
        <v>22</v>
      </c>
      <c r="H327" t="s">
        <v>547</v>
      </c>
      <c r="I327" t="s">
        <v>60</v>
      </c>
      <c r="J327" t="s">
        <v>152</v>
      </c>
      <c r="K327">
        <v>1</v>
      </c>
    </row>
    <row r="328" spans="2:11" x14ac:dyDescent="0.2">
      <c r="B328" t="s">
        <v>892</v>
      </c>
      <c r="C328" s="74" t="s">
        <v>505</v>
      </c>
      <c r="D328" s="88">
        <v>45159</v>
      </c>
      <c r="E328" t="s">
        <v>555</v>
      </c>
      <c r="F328" t="s">
        <v>549</v>
      </c>
      <c r="G328" s="79" t="s">
        <v>22</v>
      </c>
      <c r="H328" t="s">
        <v>547</v>
      </c>
      <c r="I328" t="s">
        <v>60</v>
      </c>
      <c r="J328" t="s">
        <v>152</v>
      </c>
      <c r="K328">
        <v>2</v>
      </c>
    </row>
    <row r="329" spans="2:11" x14ac:dyDescent="0.2">
      <c r="B329" t="s">
        <v>651</v>
      </c>
      <c r="C329" s="74" t="s">
        <v>506</v>
      </c>
      <c r="D329" s="88">
        <v>45159</v>
      </c>
      <c r="E329" t="s">
        <v>555</v>
      </c>
      <c r="F329" t="s">
        <v>549</v>
      </c>
      <c r="G329" s="79" t="s">
        <v>22</v>
      </c>
      <c r="H329" t="s">
        <v>547</v>
      </c>
      <c r="I329" t="s">
        <v>60</v>
      </c>
      <c r="J329" t="s">
        <v>152</v>
      </c>
      <c r="K329">
        <v>3</v>
      </c>
    </row>
    <row r="330" spans="2:11" x14ac:dyDescent="0.2">
      <c r="B330" t="s">
        <v>893</v>
      </c>
      <c r="C330" s="74" t="s">
        <v>507</v>
      </c>
      <c r="D330" s="88">
        <v>45159</v>
      </c>
      <c r="E330" t="s">
        <v>555</v>
      </c>
      <c r="F330" t="s">
        <v>549</v>
      </c>
      <c r="G330" s="79" t="s">
        <v>22</v>
      </c>
      <c r="H330" t="s">
        <v>547</v>
      </c>
      <c r="I330" t="s">
        <v>36</v>
      </c>
      <c r="J330" t="s">
        <v>152</v>
      </c>
      <c r="K330">
        <v>1</v>
      </c>
    </row>
    <row r="331" spans="2:11" x14ac:dyDescent="0.2">
      <c r="B331" t="s">
        <v>894</v>
      </c>
      <c r="C331" s="74" t="s">
        <v>508</v>
      </c>
      <c r="D331" s="88">
        <v>45159</v>
      </c>
      <c r="E331" t="s">
        <v>555</v>
      </c>
      <c r="F331" t="s">
        <v>549</v>
      </c>
      <c r="G331" s="79" t="s">
        <v>22</v>
      </c>
      <c r="H331" t="s">
        <v>547</v>
      </c>
      <c r="I331" t="s">
        <v>36</v>
      </c>
      <c r="J331" t="s">
        <v>152</v>
      </c>
      <c r="K331">
        <v>2</v>
      </c>
    </row>
    <row r="332" spans="2:11" x14ac:dyDescent="0.2">
      <c r="B332" t="s">
        <v>655</v>
      </c>
      <c r="C332" s="74" t="s">
        <v>509</v>
      </c>
      <c r="D332" s="88">
        <v>45159</v>
      </c>
      <c r="E332" t="s">
        <v>555</v>
      </c>
      <c r="F332" t="s">
        <v>549</v>
      </c>
      <c r="G332" s="79" t="s">
        <v>22</v>
      </c>
      <c r="H332" t="s">
        <v>547</v>
      </c>
      <c r="I332" t="s">
        <v>36</v>
      </c>
      <c r="J332" t="s">
        <v>152</v>
      </c>
      <c r="K332">
        <v>3</v>
      </c>
    </row>
    <row r="333" spans="2:11" x14ac:dyDescent="0.2">
      <c r="B333" t="s">
        <v>895</v>
      </c>
      <c r="C333" s="74" t="s">
        <v>510</v>
      </c>
      <c r="D333" s="88">
        <v>45159</v>
      </c>
      <c r="E333" t="s">
        <v>555</v>
      </c>
      <c r="F333" t="s">
        <v>549</v>
      </c>
      <c r="G333" s="79" t="s">
        <v>22</v>
      </c>
      <c r="H333" t="s">
        <v>547</v>
      </c>
      <c r="I333" t="s">
        <v>34</v>
      </c>
      <c r="J333" t="s">
        <v>152</v>
      </c>
      <c r="K333">
        <v>1</v>
      </c>
    </row>
    <row r="334" spans="2:11" x14ac:dyDescent="0.2">
      <c r="B334" t="s">
        <v>896</v>
      </c>
      <c r="C334" s="74" t="s">
        <v>511</v>
      </c>
      <c r="D334" s="88">
        <v>45159</v>
      </c>
      <c r="E334" t="s">
        <v>555</v>
      </c>
      <c r="F334" t="s">
        <v>549</v>
      </c>
      <c r="G334" s="79" t="s">
        <v>22</v>
      </c>
      <c r="H334" t="s">
        <v>547</v>
      </c>
      <c r="I334" t="s">
        <v>34</v>
      </c>
      <c r="J334" t="s">
        <v>152</v>
      </c>
      <c r="K334">
        <v>2</v>
      </c>
    </row>
    <row r="335" spans="2:11" x14ac:dyDescent="0.2">
      <c r="B335" t="s">
        <v>659</v>
      </c>
      <c r="C335" s="74" t="s">
        <v>512</v>
      </c>
      <c r="D335" s="88">
        <v>45159</v>
      </c>
      <c r="E335" t="s">
        <v>555</v>
      </c>
      <c r="F335" t="s">
        <v>549</v>
      </c>
      <c r="G335" s="79" t="s">
        <v>22</v>
      </c>
      <c r="H335" t="s">
        <v>547</v>
      </c>
      <c r="I335" t="s">
        <v>34</v>
      </c>
      <c r="J335" t="s">
        <v>152</v>
      </c>
      <c r="K335">
        <v>3</v>
      </c>
    </row>
    <row r="336" spans="2:11" x14ac:dyDescent="0.2">
      <c r="B336" t="s">
        <v>897</v>
      </c>
      <c r="C336" s="74" t="s">
        <v>513</v>
      </c>
      <c r="D336" s="88">
        <v>45161</v>
      </c>
      <c r="E336" t="s">
        <v>555</v>
      </c>
      <c r="F336" t="s">
        <v>552</v>
      </c>
      <c r="G336" s="75" t="s">
        <v>95</v>
      </c>
      <c r="H336" t="s">
        <v>543</v>
      </c>
      <c r="I336" t="s">
        <v>43</v>
      </c>
      <c r="J336" t="s">
        <v>152</v>
      </c>
      <c r="K336">
        <v>1</v>
      </c>
    </row>
    <row r="337" spans="2:11" x14ac:dyDescent="0.2">
      <c r="B337" t="s">
        <v>898</v>
      </c>
      <c r="C337" s="74" t="s">
        <v>514</v>
      </c>
      <c r="D337" s="88">
        <v>45161</v>
      </c>
      <c r="E337" t="s">
        <v>555</v>
      </c>
      <c r="F337" t="s">
        <v>552</v>
      </c>
      <c r="G337" s="75" t="s">
        <v>95</v>
      </c>
      <c r="H337" t="s">
        <v>543</v>
      </c>
      <c r="I337" t="s">
        <v>43</v>
      </c>
      <c r="J337" t="s">
        <v>152</v>
      </c>
      <c r="K337">
        <v>2</v>
      </c>
    </row>
    <row r="338" spans="2:11" x14ac:dyDescent="0.2">
      <c r="B338" t="s">
        <v>759</v>
      </c>
      <c r="C338" s="74" t="s">
        <v>515</v>
      </c>
      <c r="D338" s="88">
        <v>45161</v>
      </c>
      <c r="E338" t="s">
        <v>555</v>
      </c>
      <c r="F338" t="s">
        <v>552</v>
      </c>
      <c r="G338" s="75" t="s">
        <v>95</v>
      </c>
      <c r="H338" t="s">
        <v>543</v>
      </c>
      <c r="I338" t="s">
        <v>43</v>
      </c>
      <c r="J338" t="s">
        <v>152</v>
      </c>
      <c r="K338">
        <v>3</v>
      </c>
    </row>
    <row r="339" spans="2:11" x14ac:dyDescent="0.2">
      <c r="B339" t="s">
        <v>899</v>
      </c>
      <c r="C339" s="74" t="s">
        <v>516</v>
      </c>
      <c r="D339" s="88">
        <v>45161</v>
      </c>
      <c r="E339" t="s">
        <v>555</v>
      </c>
      <c r="F339" t="s">
        <v>552</v>
      </c>
      <c r="G339" s="75" t="s">
        <v>95</v>
      </c>
      <c r="H339" t="s">
        <v>543</v>
      </c>
      <c r="I339" t="s">
        <v>51</v>
      </c>
      <c r="J339" t="s">
        <v>152</v>
      </c>
      <c r="K339">
        <v>1</v>
      </c>
    </row>
    <row r="340" spans="2:11" x14ac:dyDescent="0.2">
      <c r="B340" t="s">
        <v>900</v>
      </c>
      <c r="C340" s="74" t="s">
        <v>517</v>
      </c>
      <c r="D340" s="88">
        <v>45161</v>
      </c>
      <c r="E340" t="s">
        <v>555</v>
      </c>
      <c r="F340" t="s">
        <v>552</v>
      </c>
      <c r="G340" s="75" t="s">
        <v>95</v>
      </c>
      <c r="H340" t="s">
        <v>543</v>
      </c>
      <c r="I340" t="s">
        <v>51</v>
      </c>
      <c r="J340" t="s">
        <v>152</v>
      </c>
      <c r="K340">
        <v>2</v>
      </c>
    </row>
    <row r="341" spans="2:11" x14ac:dyDescent="0.2">
      <c r="B341" t="s">
        <v>764</v>
      </c>
      <c r="C341" s="74" t="s">
        <v>518</v>
      </c>
      <c r="D341" s="88">
        <v>45161</v>
      </c>
      <c r="E341" t="s">
        <v>555</v>
      </c>
      <c r="F341" t="s">
        <v>552</v>
      </c>
      <c r="G341" s="75" t="s">
        <v>95</v>
      </c>
      <c r="H341" t="s">
        <v>543</v>
      </c>
      <c r="I341" t="s">
        <v>51</v>
      </c>
      <c r="J341" t="s">
        <v>152</v>
      </c>
      <c r="K341">
        <v>3</v>
      </c>
    </row>
    <row r="342" spans="2:11" x14ac:dyDescent="0.2">
      <c r="B342" t="s">
        <v>901</v>
      </c>
      <c r="C342" s="74" t="s">
        <v>519</v>
      </c>
      <c r="D342" s="88">
        <v>45161</v>
      </c>
      <c r="E342" t="s">
        <v>555</v>
      </c>
      <c r="F342" t="s">
        <v>552</v>
      </c>
      <c r="G342" s="75" t="s">
        <v>95</v>
      </c>
      <c r="H342" t="s">
        <v>543</v>
      </c>
      <c r="I342" t="s">
        <v>60</v>
      </c>
      <c r="J342" t="s">
        <v>152</v>
      </c>
      <c r="K342">
        <v>1</v>
      </c>
    </row>
    <row r="343" spans="2:11" x14ac:dyDescent="0.2">
      <c r="B343" t="s">
        <v>902</v>
      </c>
      <c r="C343" s="74" t="s">
        <v>520</v>
      </c>
      <c r="D343" s="88">
        <v>45161</v>
      </c>
      <c r="E343" t="s">
        <v>555</v>
      </c>
      <c r="F343" t="s">
        <v>552</v>
      </c>
      <c r="G343" s="75" t="s">
        <v>95</v>
      </c>
      <c r="H343" t="s">
        <v>543</v>
      </c>
      <c r="I343" t="s">
        <v>60</v>
      </c>
      <c r="J343" t="s">
        <v>152</v>
      </c>
      <c r="K343">
        <v>2</v>
      </c>
    </row>
    <row r="344" spans="2:11" x14ac:dyDescent="0.2">
      <c r="B344" t="s">
        <v>662</v>
      </c>
      <c r="C344" s="74" t="s">
        <v>521</v>
      </c>
      <c r="D344" s="88">
        <v>45161</v>
      </c>
      <c r="E344" t="s">
        <v>555</v>
      </c>
      <c r="F344" t="s">
        <v>552</v>
      </c>
      <c r="G344" s="75" t="s">
        <v>95</v>
      </c>
      <c r="H344" t="s">
        <v>543</v>
      </c>
      <c r="I344" t="s">
        <v>60</v>
      </c>
      <c r="J344" t="s">
        <v>152</v>
      </c>
      <c r="K344">
        <v>3</v>
      </c>
    </row>
    <row r="345" spans="2:11" x14ac:dyDescent="0.2">
      <c r="B345" t="s">
        <v>903</v>
      </c>
      <c r="C345" s="74" t="s">
        <v>522</v>
      </c>
      <c r="D345" s="88">
        <v>45161</v>
      </c>
      <c r="E345" t="s">
        <v>555</v>
      </c>
      <c r="F345" t="s">
        <v>552</v>
      </c>
      <c r="G345" s="75" t="s">
        <v>95</v>
      </c>
      <c r="H345" t="s">
        <v>543</v>
      </c>
      <c r="I345" t="s">
        <v>36</v>
      </c>
      <c r="J345" t="s">
        <v>152</v>
      </c>
      <c r="K345">
        <v>1</v>
      </c>
    </row>
    <row r="346" spans="2:11" x14ac:dyDescent="0.2">
      <c r="B346" t="s">
        <v>904</v>
      </c>
      <c r="C346" s="74" t="s">
        <v>523</v>
      </c>
      <c r="D346" s="88">
        <v>45161</v>
      </c>
      <c r="E346" t="s">
        <v>555</v>
      </c>
      <c r="F346" t="s">
        <v>552</v>
      </c>
      <c r="G346" s="75" t="s">
        <v>95</v>
      </c>
      <c r="H346" t="s">
        <v>543</v>
      </c>
      <c r="I346" t="s">
        <v>36</v>
      </c>
      <c r="J346" t="s">
        <v>152</v>
      </c>
      <c r="K346">
        <v>2</v>
      </c>
    </row>
    <row r="347" spans="2:11" x14ac:dyDescent="0.2">
      <c r="B347" t="s">
        <v>665</v>
      </c>
      <c r="C347" s="74" t="s">
        <v>524</v>
      </c>
      <c r="D347" s="88">
        <v>45161</v>
      </c>
      <c r="E347" t="s">
        <v>555</v>
      </c>
      <c r="F347" t="s">
        <v>552</v>
      </c>
      <c r="G347" s="75" t="s">
        <v>95</v>
      </c>
      <c r="H347" t="s">
        <v>543</v>
      </c>
      <c r="I347" t="s">
        <v>36</v>
      </c>
      <c r="J347" t="s">
        <v>152</v>
      </c>
      <c r="K347">
        <v>3</v>
      </c>
    </row>
    <row r="348" spans="2:11" x14ac:dyDescent="0.2">
      <c r="B348" t="s">
        <v>905</v>
      </c>
      <c r="C348" s="74" t="s">
        <v>525</v>
      </c>
      <c r="D348" s="88">
        <v>45161</v>
      </c>
      <c r="E348" t="s">
        <v>555</v>
      </c>
      <c r="F348" t="s">
        <v>552</v>
      </c>
      <c r="G348" s="75" t="s">
        <v>95</v>
      </c>
      <c r="H348" t="s">
        <v>543</v>
      </c>
      <c r="I348" t="s">
        <v>45</v>
      </c>
      <c r="J348" t="s">
        <v>152</v>
      </c>
      <c r="K348">
        <v>1</v>
      </c>
    </row>
    <row r="349" spans="2:11" x14ac:dyDescent="0.2">
      <c r="B349" t="s">
        <v>906</v>
      </c>
      <c r="C349" s="74" t="s">
        <v>526</v>
      </c>
      <c r="D349" s="88">
        <v>45161</v>
      </c>
      <c r="E349" t="s">
        <v>555</v>
      </c>
      <c r="F349" t="s">
        <v>552</v>
      </c>
      <c r="G349" s="75" t="s">
        <v>95</v>
      </c>
      <c r="H349" t="s">
        <v>543</v>
      </c>
      <c r="I349" t="s">
        <v>45</v>
      </c>
      <c r="J349" t="s">
        <v>152</v>
      </c>
      <c r="K349">
        <v>2</v>
      </c>
    </row>
    <row r="350" spans="2:11" x14ac:dyDescent="0.2">
      <c r="B350" t="s">
        <v>668</v>
      </c>
      <c r="C350" s="74" t="s">
        <v>527</v>
      </c>
      <c r="D350" s="88">
        <v>45161</v>
      </c>
      <c r="E350" t="s">
        <v>555</v>
      </c>
      <c r="F350" t="s">
        <v>552</v>
      </c>
      <c r="G350" s="75" t="s">
        <v>95</v>
      </c>
      <c r="H350" t="s">
        <v>543</v>
      </c>
      <c r="I350" t="s">
        <v>45</v>
      </c>
      <c r="J350" t="s">
        <v>152</v>
      </c>
      <c r="K350">
        <v>3</v>
      </c>
    </row>
    <row r="351" spans="2:11" x14ac:dyDescent="0.2">
      <c r="B351" t="s">
        <v>907</v>
      </c>
      <c r="C351" s="74" t="s">
        <v>528</v>
      </c>
      <c r="D351" s="88">
        <v>45161</v>
      </c>
      <c r="E351" t="s">
        <v>555</v>
      </c>
      <c r="F351" t="s">
        <v>550</v>
      </c>
      <c r="G351" s="76" t="s">
        <v>94</v>
      </c>
      <c r="H351" t="s">
        <v>544</v>
      </c>
      <c r="I351" t="s">
        <v>43</v>
      </c>
      <c r="J351" t="s">
        <v>152</v>
      </c>
      <c r="K351">
        <v>1</v>
      </c>
    </row>
    <row r="352" spans="2:11" x14ac:dyDescent="0.2">
      <c r="B352" t="s">
        <v>908</v>
      </c>
      <c r="C352" s="74" t="s">
        <v>529</v>
      </c>
      <c r="D352" s="88">
        <v>45161</v>
      </c>
      <c r="E352" t="s">
        <v>555</v>
      </c>
      <c r="F352" t="s">
        <v>550</v>
      </c>
      <c r="G352" s="76" t="s">
        <v>94</v>
      </c>
      <c r="H352" t="s">
        <v>544</v>
      </c>
      <c r="I352" t="s">
        <v>43</v>
      </c>
      <c r="J352" t="s">
        <v>152</v>
      </c>
      <c r="K352">
        <v>2</v>
      </c>
    </row>
    <row r="353" spans="2:11" x14ac:dyDescent="0.2">
      <c r="B353" t="s">
        <v>909</v>
      </c>
      <c r="C353" s="74" t="s">
        <v>530</v>
      </c>
      <c r="D353" s="88">
        <v>45161</v>
      </c>
      <c r="E353" t="s">
        <v>555</v>
      </c>
      <c r="F353" t="s">
        <v>550</v>
      </c>
      <c r="G353" s="76" t="s">
        <v>94</v>
      </c>
      <c r="H353" t="s">
        <v>544</v>
      </c>
      <c r="I353" t="s">
        <v>43</v>
      </c>
      <c r="J353" t="s">
        <v>152</v>
      </c>
      <c r="K353">
        <v>3</v>
      </c>
    </row>
    <row r="354" spans="2:11" x14ac:dyDescent="0.2">
      <c r="B354" t="s">
        <v>910</v>
      </c>
      <c r="C354" s="74" t="s">
        <v>531</v>
      </c>
      <c r="D354" s="88">
        <v>45161</v>
      </c>
      <c r="E354" t="s">
        <v>555</v>
      </c>
      <c r="F354" t="s">
        <v>550</v>
      </c>
      <c r="G354" s="76" t="s">
        <v>94</v>
      </c>
      <c r="H354" t="s">
        <v>544</v>
      </c>
      <c r="I354" t="s">
        <v>51</v>
      </c>
      <c r="J354" t="s">
        <v>152</v>
      </c>
      <c r="K354">
        <v>1</v>
      </c>
    </row>
    <row r="355" spans="2:11" x14ac:dyDescent="0.2">
      <c r="B355" t="s">
        <v>911</v>
      </c>
      <c r="C355" s="74" t="s">
        <v>532</v>
      </c>
      <c r="D355" s="88">
        <v>45161</v>
      </c>
      <c r="E355" t="s">
        <v>555</v>
      </c>
      <c r="F355" t="s">
        <v>550</v>
      </c>
      <c r="G355" s="76" t="s">
        <v>94</v>
      </c>
      <c r="H355" t="s">
        <v>544</v>
      </c>
      <c r="I355" t="s">
        <v>51</v>
      </c>
      <c r="J355" t="s">
        <v>152</v>
      </c>
      <c r="K355">
        <v>2</v>
      </c>
    </row>
    <row r="356" spans="2:11" x14ac:dyDescent="0.2">
      <c r="B356" t="s">
        <v>912</v>
      </c>
      <c r="C356" s="74" t="s">
        <v>533</v>
      </c>
      <c r="D356" s="88">
        <v>45161</v>
      </c>
      <c r="E356" t="s">
        <v>555</v>
      </c>
      <c r="F356" t="s">
        <v>550</v>
      </c>
      <c r="G356" s="76" t="s">
        <v>94</v>
      </c>
      <c r="H356" t="s">
        <v>544</v>
      </c>
      <c r="I356" t="s">
        <v>51</v>
      </c>
      <c r="J356" t="s">
        <v>152</v>
      </c>
      <c r="K356">
        <v>3</v>
      </c>
    </row>
    <row r="357" spans="2:11" x14ac:dyDescent="0.2">
      <c r="B357" t="s">
        <v>913</v>
      </c>
      <c r="C357" s="74" t="s">
        <v>534</v>
      </c>
      <c r="D357" s="88">
        <v>45161</v>
      </c>
      <c r="E357" t="s">
        <v>555</v>
      </c>
      <c r="F357" t="s">
        <v>550</v>
      </c>
      <c r="G357" s="76" t="s">
        <v>94</v>
      </c>
      <c r="H357" t="s">
        <v>544</v>
      </c>
      <c r="I357" t="s">
        <v>60</v>
      </c>
      <c r="J357" t="s">
        <v>152</v>
      </c>
      <c r="K357">
        <v>1</v>
      </c>
    </row>
    <row r="358" spans="2:11" x14ac:dyDescent="0.2">
      <c r="B358" t="s">
        <v>914</v>
      </c>
      <c r="C358" s="74" t="s">
        <v>535</v>
      </c>
      <c r="D358" s="88">
        <v>45161</v>
      </c>
      <c r="E358" t="s">
        <v>555</v>
      </c>
      <c r="F358" t="s">
        <v>550</v>
      </c>
      <c r="G358" s="76" t="s">
        <v>94</v>
      </c>
      <c r="H358" t="s">
        <v>544</v>
      </c>
      <c r="I358" t="s">
        <v>60</v>
      </c>
      <c r="J358" t="s">
        <v>152</v>
      </c>
      <c r="K358">
        <v>2</v>
      </c>
    </row>
    <row r="359" spans="2:11" x14ac:dyDescent="0.2">
      <c r="B359" t="s">
        <v>671</v>
      </c>
      <c r="C359" s="74" t="s">
        <v>536</v>
      </c>
      <c r="D359" s="88">
        <v>45161</v>
      </c>
      <c r="E359" t="s">
        <v>555</v>
      </c>
      <c r="F359" t="s">
        <v>550</v>
      </c>
      <c r="G359" s="76" t="s">
        <v>94</v>
      </c>
      <c r="H359" t="s">
        <v>544</v>
      </c>
      <c r="I359" t="s">
        <v>60</v>
      </c>
      <c r="J359" t="s">
        <v>152</v>
      </c>
      <c r="K359">
        <v>3</v>
      </c>
    </row>
    <row r="360" spans="2:11" x14ac:dyDescent="0.2">
      <c r="B360" t="s">
        <v>915</v>
      </c>
      <c r="C360" s="74" t="s">
        <v>537</v>
      </c>
      <c r="D360" s="88">
        <v>45161</v>
      </c>
      <c r="E360" t="s">
        <v>555</v>
      </c>
      <c r="F360" t="s">
        <v>550</v>
      </c>
      <c r="G360" s="76" t="s">
        <v>94</v>
      </c>
      <c r="H360" t="s">
        <v>544</v>
      </c>
      <c r="I360" t="s">
        <v>36</v>
      </c>
      <c r="J360" t="s">
        <v>152</v>
      </c>
      <c r="K360">
        <v>1</v>
      </c>
    </row>
    <row r="361" spans="2:11" x14ac:dyDescent="0.2">
      <c r="B361" t="s">
        <v>916</v>
      </c>
      <c r="C361" s="74" t="s">
        <v>538</v>
      </c>
      <c r="D361" s="88">
        <v>45161</v>
      </c>
      <c r="E361" t="s">
        <v>555</v>
      </c>
      <c r="F361" t="s">
        <v>550</v>
      </c>
      <c r="G361" s="76" t="s">
        <v>94</v>
      </c>
      <c r="H361" t="s">
        <v>544</v>
      </c>
      <c r="I361" t="s">
        <v>36</v>
      </c>
      <c r="J361" t="s">
        <v>152</v>
      </c>
      <c r="K361">
        <v>2</v>
      </c>
    </row>
    <row r="362" spans="2:11" x14ac:dyDescent="0.2">
      <c r="B362" t="s">
        <v>674</v>
      </c>
      <c r="C362" s="74" t="s">
        <v>539</v>
      </c>
      <c r="D362" s="88">
        <v>45161</v>
      </c>
      <c r="E362" t="s">
        <v>555</v>
      </c>
      <c r="F362" t="s">
        <v>550</v>
      </c>
      <c r="G362" s="76" t="s">
        <v>94</v>
      </c>
      <c r="H362" t="s">
        <v>544</v>
      </c>
      <c r="I362" t="s">
        <v>36</v>
      </c>
      <c r="J362" t="s">
        <v>152</v>
      </c>
      <c r="K362">
        <v>3</v>
      </c>
    </row>
    <row r="363" spans="2:11" x14ac:dyDescent="0.2">
      <c r="B363" t="s">
        <v>917</v>
      </c>
      <c r="C363" s="74" t="s">
        <v>540</v>
      </c>
      <c r="D363" s="88">
        <v>45161</v>
      </c>
      <c r="E363" t="s">
        <v>555</v>
      </c>
      <c r="F363" t="s">
        <v>550</v>
      </c>
      <c r="G363" s="76" t="s">
        <v>94</v>
      </c>
      <c r="H363" t="s">
        <v>544</v>
      </c>
      <c r="I363" t="s">
        <v>45</v>
      </c>
      <c r="J363" t="s">
        <v>152</v>
      </c>
      <c r="K363">
        <v>1</v>
      </c>
    </row>
    <row r="364" spans="2:11" x14ac:dyDescent="0.2">
      <c r="B364" t="s">
        <v>918</v>
      </c>
      <c r="C364" s="74" t="s">
        <v>541</v>
      </c>
      <c r="D364" s="88">
        <v>45161</v>
      </c>
      <c r="E364" t="s">
        <v>555</v>
      </c>
      <c r="F364" t="s">
        <v>550</v>
      </c>
      <c r="G364" s="76" t="s">
        <v>94</v>
      </c>
      <c r="H364" t="s">
        <v>544</v>
      </c>
      <c r="I364" t="s">
        <v>45</v>
      </c>
      <c r="J364" t="s">
        <v>152</v>
      </c>
      <c r="K364">
        <v>2</v>
      </c>
    </row>
    <row r="365" spans="2:11" x14ac:dyDescent="0.2">
      <c r="B365" t="s">
        <v>677</v>
      </c>
      <c r="C365" s="74" t="s">
        <v>542</v>
      </c>
      <c r="D365" s="88">
        <v>45161</v>
      </c>
      <c r="E365" t="s">
        <v>555</v>
      </c>
      <c r="F365" t="s">
        <v>550</v>
      </c>
      <c r="G365" s="76" t="s">
        <v>94</v>
      </c>
      <c r="H365" t="s">
        <v>544</v>
      </c>
      <c r="I365" t="s">
        <v>45</v>
      </c>
      <c r="J365" t="s">
        <v>152</v>
      </c>
      <c r="K365">
        <v>3</v>
      </c>
    </row>
  </sheetData>
  <phoneticPr fontId="2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16CC-5091-47FB-85FE-12E0738566CE}">
  <dimension ref="A1:N366"/>
  <sheetViews>
    <sheetView workbookViewId="0">
      <selection activeCell="A364" sqref="A364"/>
    </sheetView>
  </sheetViews>
  <sheetFormatPr baseColWidth="10" defaultRowHeight="15" x14ac:dyDescent="0.2"/>
  <cols>
    <col min="1" max="1" width="20.5" customWidth="1"/>
    <col min="2" max="2" width="20.33203125" customWidth="1"/>
    <col min="3" max="3" width="10.33203125" customWidth="1"/>
    <col min="4" max="4" width="10.5" bestFit="1" customWidth="1"/>
    <col min="5" max="5" width="7.1640625" bestFit="1" customWidth="1"/>
    <col min="6" max="6" width="29.83203125" bestFit="1" customWidth="1"/>
    <col min="7" max="8" width="5.33203125" bestFit="1" customWidth="1"/>
    <col min="9" max="9" width="12.83203125" bestFit="1" customWidth="1"/>
    <col min="10" max="10" width="10.83203125" bestFit="1" customWidth="1"/>
    <col min="11" max="11" width="7.1640625" bestFit="1" customWidth="1"/>
    <col min="12" max="12" width="8.83203125" bestFit="1" customWidth="1"/>
    <col min="13" max="13" width="12.83203125" bestFit="1" customWidth="1"/>
  </cols>
  <sheetData>
    <row r="1" spans="1:14" x14ac:dyDescent="0.2">
      <c r="A1" t="s">
        <v>1336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959</v>
      </c>
      <c r="J1" t="s">
        <v>177</v>
      </c>
      <c r="K1" t="s">
        <v>178</v>
      </c>
      <c r="L1" t="s">
        <v>179</v>
      </c>
      <c r="M1" t="s">
        <v>955</v>
      </c>
      <c r="N1" t="s">
        <v>1414</v>
      </c>
    </row>
    <row r="2" spans="1:14" x14ac:dyDescent="0.2">
      <c r="A2" t="str">
        <f>"2023-"&amp;B2&amp;"-16S"</f>
        <v>2023-1-ASB-CL-FL-1-16S</v>
      </c>
      <c r="B2" t="s">
        <v>556</v>
      </c>
      <c r="C2" s="74" t="s">
        <v>180</v>
      </c>
      <c r="D2" s="88">
        <v>45061</v>
      </c>
      <c r="E2" t="s">
        <v>962</v>
      </c>
      <c r="F2" t="s">
        <v>551</v>
      </c>
      <c r="G2" t="s">
        <v>16</v>
      </c>
      <c r="H2" t="s">
        <v>548</v>
      </c>
      <c r="I2" t="s">
        <v>960</v>
      </c>
      <c r="J2" t="s">
        <v>43</v>
      </c>
      <c r="K2" t="s">
        <v>151</v>
      </c>
      <c r="L2">
        <v>1</v>
      </c>
      <c r="M2" t="s">
        <v>956</v>
      </c>
      <c r="N2" t="s">
        <v>1413</v>
      </c>
    </row>
    <row r="3" spans="1:14" x14ac:dyDescent="0.2">
      <c r="A3" t="str">
        <f t="shared" ref="A3:A66" si="0">"2023-"&amp;B3&amp;"-16S"</f>
        <v>2023-1-ASB-CL-LE-1-16S</v>
      </c>
      <c r="B3" t="s">
        <v>557</v>
      </c>
      <c r="C3" s="74" t="s">
        <v>181</v>
      </c>
      <c r="D3" s="88">
        <v>45061</v>
      </c>
      <c r="E3" t="s">
        <v>962</v>
      </c>
      <c r="F3" t="s">
        <v>551</v>
      </c>
      <c r="G3" t="s">
        <v>16</v>
      </c>
      <c r="H3" t="s">
        <v>548</v>
      </c>
      <c r="I3" t="s">
        <v>960</v>
      </c>
      <c r="J3" t="s">
        <v>43</v>
      </c>
      <c r="K3" t="s">
        <v>152</v>
      </c>
      <c r="L3">
        <v>1</v>
      </c>
      <c r="M3" t="s">
        <v>956</v>
      </c>
      <c r="N3" t="s">
        <v>1413</v>
      </c>
    </row>
    <row r="4" spans="1:14" x14ac:dyDescent="0.2">
      <c r="A4" t="str">
        <f t="shared" si="0"/>
        <v>2023-1-ASB-CL-FL-2-16S</v>
      </c>
      <c r="B4" t="s">
        <v>560</v>
      </c>
      <c r="C4" s="74" t="s">
        <v>182</v>
      </c>
      <c r="D4" s="88">
        <v>45061</v>
      </c>
      <c r="E4" t="s">
        <v>962</v>
      </c>
      <c r="F4" t="s">
        <v>551</v>
      </c>
      <c r="G4" t="s">
        <v>16</v>
      </c>
      <c r="H4" t="s">
        <v>548</v>
      </c>
      <c r="I4" t="s">
        <v>960</v>
      </c>
      <c r="J4" t="s">
        <v>43</v>
      </c>
      <c r="K4" t="s">
        <v>151</v>
      </c>
      <c r="L4">
        <v>2</v>
      </c>
      <c r="M4" t="s">
        <v>956</v>
      </c>
      <c r="N4" t="s">
        <v>1413</v>
      </c>
    </row>
    <row r="5" spans="1:14" x14ac:dyDescent="0.2">
      <c r="A5" t="str">
        <f t="shared" si="0"/>
        <v>2023-1-ASB-CL-LE-2-16S</v>
      </c>
      <c r="B5" t="s">
        <v>561</v>
      </c>
      <c r="C5" s="74" t="s">
        <v>183</v>
      </c>
      <c r="D5" s="88">
        <v>45061</v>
      </c>
      <c r="E5" t="s">
        <v>962</v>
      </c>
      <c r="F5" t="s">
        <v>551</v>
      </c>
      <c r="G5" t="s">
        <v>16</v>
      </c>
      <c r="H5" t="s">
        <v>548</v>
      </c>
      <c r="I5" t="s">
        <v>960</v>
      </c>
      <c r="J5" t="s">
        <v>43</v>
      </c>
      <c r="K5" t="s">
        <v>152</v>
      </c>
      <c r="L5">
        <v>2</v>
      </c>
      <c r="M5" t="s">
        <v>956</v>
      </c>
      <c r="N5" t="s">
        <v>1413</v>
      </c>
    </row>
    <row r="6" spans="1:14" x14ac:dyDescent="0.2">
      <c r="A6" t="str">
        <f t="shared" si="0"/>
        <v>2023-1-ASB-CL-FL-3-16S</v>
      </c>
      <c r="B6" t="s">
        <v>562</v>
      </c>
      <c r="C6" s="74" t="s">
        <v>184</v>
      </c>
      <c r="D6" s="88">
        <v>45061</v>
      </c>
      <c r="E6" t="s">
        <v>962</v>
      </c>
      <c r="F6" t="s">
        <v>551</v>
      </c>
      <c r="G6" t="s">
        <v>16</v>
      </c>
      <c r="H6" t="s">
        <v>548</v>
      </c>
      <c r="I6" t="s">
        <v>960</v>
      </c>
      <c r="J6" t="s">
        <v>43</v>
      </c>
      <c r="K6" t="s">
        <v>151</v>
      </c>
      <c r="L6">
        <v>3</v>
      </c>
      <c r="M6" t="s">
        <v>956</v>
      </c>
      <c r="N6" t="s">
        <v>1413</v>
      </c>
    </row>
    <row r="7" spans="1:14" x14ac:dyDescent="0.2">
      <c r="A7" t="str">
        <f t="shared" si="0"/>
        <v>2023-1-ASB-CL-LE-3-16S</v>
      </c>
      <c r="B7" t="s">
        <v>563</v>
      </c>
      <c r="C7" s="74" t="s">
        <v>185</v>
      </c>
      <c r="D7" s="88">
        <v>45061</v>
      </c>
      <c r="E7" t="s">
        <v>962</v>
      </c>
      <c r="F7" t="s">
        <v>551</v>
      </c>
      <c r="G7" t="s">
        <v>16</v>
      </c>
      <c r="H7" t="s">
        <v>548</v>
      </c>
      <c r="I7" t="s">
        <v>960</v>
      </c>
      <c r="J7" t="s">
        <v>43</v>
      </c>
      <c r="K7" t="s">
        <v>152</v>
      </c>
      <c r="L7">
        <v>3</v>
      </c>
      <c r="M7" t="s">
        <v>956</v>
      </c>
      <c r="N7" t="s">
        <v>1413</v>
      </c>
    </row>
    <row r="8" spans="1:14" x14ac:dyDescent="0.2">
      <c r="A8" t="str">
        <f t="shared" si="0"/>
        <v>2023-1-ASB-PR-FL-1-16S</v>
      </c>
      <c r="B8" t="s">
        <v>564</v>
      </c>
      <c r="C8" s="74" t="s">
        <v>186</v>
      </c>
      <c r="D8" s="88">
        <v>45061</v>
      </c>
      <c r="E8" t="s">
        <v>962</v>
      </c>
      <c r="F8" t="s">
        <v>551</v>
      </c>
      <c r="G8" t="s">
        <v>16</v>
      </c>
      <c r="H8" t="s">
        <v>548</v>
      </c>
      <c r="I8" t="s">
        <v>960</v>
      </c>
      <c r="J8" t="s">
        <v>74</v>
      </c>
      <c r="K8" t="s">
        <v>151</v>
      </c>
      <c r="L8">
        <v>1</v>
      </c>
      <c r="M8" t="s">
        <v>956</v>
      </c>
      <c r="N8" t="s">
        <v>1413</v>
      </c>
    </row>
    <row r="9" spans="1:14" x14ac:dyDescent="0.2">
      <c r="A9" t="str">
        <f t="shared" si="0"/>
        <v>2023-1-ASB-PR-LE-1-16S</v>
      </c>
      <c r="B9" t="s">
        <v>565</v>
      </c>
      <c r="C9" s="74" t="s">
        <v>187</v>
      </c>
      <c r="D9" s="88">
        <v>45061</v>
      </c>
      <c r="E9" t="s">
        <v>962</v>
      </c>
      <c r="F9" t="s">
        <v>551</v>
      </c>
      <c r="G9" t="s">
        <v>16</v>
      </c>
      <c r="H9" t="s">
        <v>548</v>
      </c>
      <c r="I9" t="s">
        <v>960</v>
      </c>
      <c r="J9" t="s">
        <v>74</v>
      </c>
      <c r="K9" t="s">
        <v>152</v>
      </c>
      <c r="L9">
        <v>1</v>
      </c>
      <c r="M9" t="s">
        <v>956</v>
      </c>
      <c r="N9" t="s">
        <v>1413</v>
      </c>
    </row>
    <row r="10" spans="1:14" x14ac:dyDescent="0.2">
      <c r="A10" t="str">
        <f t="shared" si="0"/>
        <v>2023-1-ASB-PR-FL-2-16S</v>
      </c>
      <c r="B10" t="s">
        <v>572</v>
      </c>
      <c r="C10" s="74" t="s">
        <v>188</v>
      </c>
      <c r="D10" s="88">
        <v>45061</v>
      </c>
      <c r="E10" t="s">
        <v>962</v>
      </c>
      <c r="F10" t="s">
        <v>551</v>
      </c>
      <c r="G10" t="s">
        <v>16</v>
      </c>
      <c r="H10" t="s">
        <v>548</v>
      </c>
      <c r="I10" t="s">
        <v>960</v>
      </c>
      <c r="J10" t="s">
        <v>74</v>
      </c>
      <c r="K10" t="s">
        <v>151</v>
      </c>
      <c r="L10">
        <v>2</v>
      </c>
      <c r="M10" t="s">
        <v>956</v>
      </c>
      <c r="N10" t="s">
        <v>1413</v>
      </c>
    </row>
    <row r="11" spans="1:14" x14ac:dyDescent="0.2">
      <c r="A11" t="str">
        <f t="shared" si="0"/>
        <v>2023-1-ASB-PR-LE-2-16S</v>
      </c>
      <c r="B11" t="s">
        <v>573</v>
      </c>
      <c r="C11" s="74" t="s">
        <v>189</v>
      </c>
      <c r="D11" s="88">
        <v>45061</v>
      </c>
      <c r="E11" t="s">
        <v>962</v>
      </c>
      <c r="F11" t="s">
        <v>551</v>
      </c>
      <c r="G11" t="s">
        <v>16</v>
      </c>
      <c r="H11" t="s">
        <v>548</v>
      </c>
      <c r="I11" t="s">
        <v>960</v>
      </c>
      <c r="J11" t="s">
        <v>74</v>
      </c>
      <c r="K11" t="s">
        <v>152</v>
      </c>
      <c r="L11">
        <v>2</v>
      </c>
      <c r="M11" t="s">
        <v>956</v>
      </c>
      <c r="N11" t="s">
        <v>1413</v>
      </c>
    </row>
    <row r="12" spans="1:14" x14ac:dyDescent="0.2">
      <c r="A12" t="str">
        <f t="shared" si="0"/>
        <v>2023-1-ASB-PR-FL-3-16S</v>
      </c>
      <c r="B12" t="s">
        <v>574</v>
      </c>
      <c r="C12" s="74" t="s">
        <v>190</v>
      </c>
      <c r="D12" s="88">
        <v>45061</v>
      </c>
      <c r="E12" t="s">
        <v>962</v>
      </c>
      <c r="F12" t="s">
        <v>551</v>
      </c>
      <c r="G12" t="s">
        <v>16</v>
      </c>
      <c r="H12" t="s">
        <v>548</v>
      </c>
      <c r="I12" t="s">
        <v>960</v>
      </c>
      <c r="J12" t="s">
        <v>74</v>
      </c>
      <c r="K12" t="s">
        <v>151</v>
      </c>
      <c r="L12">
        <v>3</v>
      </c>
      <c r="M12" t="s">
        <v>956</v>
      </c>
      <c r="N12" t="s">
        <v>1413</v>
      </c>
    </row>
    <row r="13" spans="1:14" x14ac:dyDescent="0.2">
      <c r="A13" t="str">
        <f t="shared" si="0"/>
        <v>2023-1-ASB-PR-LE-3-16S</v>
      </c>
      <c r="B13" t="s">
        <v>575</v>
      </c>
      <c r="C13" s="74" t="s">
        <v>191</v>
      </c>
      <c r="D13" s="88">
        <v>45061</v>
      </c>
      <c r="E13" t="s">
        <v>962</v>
      </c>
      <c r="F13" t="s">
        <v>551</v>
      </c>
      <c r="G13" t="s">
        <v>16</v>
      </c>
      <c r="H13" t="s">
        <v>548</v>
      </c>
      <c r="I13" t="s">
        <v>960</v>
      </c>
      <c r="J13" t="s">
        <v>74</v>
      </c>
      <c r="K13" t="s">
        <v>152</v>
      </c>
      <c r="L13">
        <v>3</v>
      </c>
      <c r="M13" t="s">
        <v>956</v>
      </c>
      <c r="N13" t="s">
        <v>1413</v>
      </c>
    </row>
    <row r="14" spans="1:14" x14ac:dyDescent="0.2">
      <c r="A14" t="str">
        <f t="shared" si="0"/>
        <v>2023-1-ASB-HC-FL-1-16S</v>
      </c>
      <c r="B14" t="s">
        <v>568</v>
      </c>
      <c r="C14" s="74" t="s">
        <v>192</v>
      </c>
      <c r="D14" s="88">
        <v>45061</v>
      </c>
      <c r="E14" t="s">
        <v>962</v>
      </c>
      <c r="F14" t="s">
        <v>551</v>
      </c>
      <c r="G14" t="s">
        <v>16</v>
      </c>
      <c r="H14" t="s">
        <v>548</v>
      </c>
      <c r="I14" t="s">
        <v>960</v>
      </c>
      <c r="J14" t="s">
        <v>51</v>
      </c>
      <c r="K14" t="s">
        <v>151</v>
      </c>
      <c r="L14">
        <v>1</v>
      </c>
      <c r="M14" t="s">
        <v>957</v>
      </c>
      <c r="N14" t="s">
        <v>1413</v>
      </c>
    </row>
    <row r="15" spans="1:14" x14ac:dyDescent="0.2">
      <c r="A15" t="str">
        <f t="shared" si="0"/>
        <v>2023-1-ASB-HC-LE-1-16S</v>
      </c>
      <c r="B15" t="s">
        <v>569</v>
      </c>
      <c r="C15" s="74" t="s">
        <v>193</v>
      </c>
      <c r="D15" s="88">
        <v>45061</v>
      </c>
      <c r="E15" t="s">
        <v>962</v>
      </c>
      <c r="F15" t="s">
        <v>551</v>
      </c>
      <c r="G15" t="s">
        <v>16</v>
      </c>
      <c r="H15" t="s">
        <v>548</v>
      </c>
      <c r="I15" t="s">
        <v>960</v>
      </c>
      <c r="J15" t="s">
        <v>51</v>
      </c>
      <c r="K15" t="s">
        <v>152</v>
      </c>
      <c r="L15">
        <v>1</v>
      </c>
      <c r="M15" t="s">
        <v>957</v>
      </c>
      <c r="N15" t="s">
        <v>1413</v>
      </c>
    </row>
    <row r="16" spans="1:14" x14ac:dyDescent="0.2">
      <c r="A16" t="str">
        <f t="shared" si="0"/>
        <v>2023-1-ASB-HC-FL-2-16S</v>
      </c>
      <c r="B16" t="s">
        <v>576</v>
      </c>
      <c r="C16" s="74" t="s">
        <v>194</v>
      </c>
      <c r="D16" s="88">
        <v>45061</v>
      </c>
      <c r="E16" t="s">
        <v>962</v>
      </c>
      <c r="F16" t="s">
        <v>551</v>
      </c>
      <c r="G16" t="s">
        <v>16</v>
      </c>
      <c r="H16" t="s">
        <v>548</v>
      </c>
      <c r="I16" t="s">
        <v>960</v>
      </c>
      <c r="J16" t="s">
        <v>51</v>
      </c>
      <c r="K16" t="s">
        <v>151</v>
      </c>
      <c r="L16">
        <v>2</v>
      </c>
      <c r="M16" t="s">
        <v>957</v>
      </c>
      <c r="N16" t="s">
        <v>1413</v>
      </c>
    </row>
    <row r="17" spans="1:14" x14ac:dyDescent="0.2">
      <c r="A17" t="str">
        <f t="shared" si="0"/>
        <v>2023-1-ASB-HC-LE-2-16S</v>
      </c>
      <c r="B17" t="s">
        <v>577</v>
      </c>
      <c r="C17" s="74" t="s">
        <v>195</v>
      </c>
      <c r="D17" s="88">
        <v>45061</v>
      </c>
      <c r="E17" t="s">
        <v>962</v>
      </c>
      <c r="F17" t="s">
        <v>551</v>
      </c>
      <c r="G17" t="s">
        <v>16</v>
      </c>
      <c r="H17" t="s">
        <v>548</v>
      </c>
      <c r="I17" t="s">
        <v>960</v>
      </c>
      <c r="J17" t="s">
        <v>51</v>
      </c>
      <c r="K17" t="s">
        <v>152</v>
      </c>
      <c r="L17">
        <v>2</v>
      </c>
      <c r="M17" t="s">
        <v>957</v>
      </c>
      <c r="N17" t="s">
        <v>1413</v>
      </c>
    </row>
    <row r="18" spans="1:14" x14ac:dyDescent="0.2">
      <c r="A18" t="str">
        <f t="shared" si="0"/>
        <v>2023-1-ASB-HC-FL-3-16S</v>
      </c>
      <c r="B18" t="s">
        <v>578</v>
      </c>
      <c r="C18" s="74" t="s">
        <v>196</v>
      </c>
      <c r="D18" s="88">
        <v>45061</v>
      </c>
      <c r="E18" t="s">
        <v>962</v>
      </c>
      <c r="F18" t="s">
        <v>551</v>
      </c>
      <c r="G18" t="s">
        <v>16</v>
      </c>
      <c r="H18" t="s">
        <v>548</v>
      </c>
      <c r="I18" t="s">
        <v>960</v>
      </c>
      <c r="J18" t="s">
        <v>51</v>
      </c>
      <c r="K18" t="s">
        <v>151</v>
      </c>
      <c r="L18">
        <v>3</v>
      </c>
      <c r="M18" t="s">
        <v>957</v>
      </c>
      <c r="N18" t="s">
        <v>1413</v>
      </c>
    </row>
    <row r="19" spans="1:14" x14ac:dyDescent="0.2">
      <c r="A19" t="str">
        <f t="shared" si="0"/>
        <v>2023-1-ASB-HC-LE-3-16S</v>
      </c>
      <c r="B19" t="s">
        <v>579</v>
      </c>
      <c r="C19" s="74" t="s">
        <v>197</v>
      </c>
      <c r="D19" s="88">
        <v>45061</v>
      </c>
      <c r="E19" t="s">
        <v>962</v>
      </c>
      <c r="F19" t="s">
        <v>551</v>
      </c>
      <c r="G19" t="s">
        <v>16</v>
      </c>
      <c r="H19" t="s">
        <v>548</v>
      </c>
      <c r="I19" t="s">
        <v>960</v>
      </c>
      <c r="J19" t="s">
        <v>51</v>
      </c>
      <c r="K19" t="s">
        <v>152</v>
      </c>
      <c r="L19">
        <v>3</v>
      </c>
      <c r="M19" t="s">
        <v>957</v>
      </c>
      <c r="N19" t="s">
        <v>1413</v>
      </c>
    </row>
    <row r="20" spans="1:14" x14ac:dyDescent="0.2">
      <c r="A20" t="str">
        <f t="shared" si="0"/>
        <v>2023-1-ASB-SP-FL-1-16S</v>
      </c>
      <c r="B20" t="s">
        <v>580</v>
      </c>
      <c r="C20" s="74" t="s">
        <v>198</v>
      </c>
      <c r="D20" s="88">
        <v>45061</v>
      </c>
      <c r="E20" t="s">
        <v>962</v>
      </c>
      <c r="F20" t="s">
        <v>551</v>
      </c>
      <c r="G20" t="s">
        <v>16</v>
      </c>
      <c r="H20" t="s">
        <v>548</v>
      </c>
      <c r="I20" t="s">
        <v>960</v>
      </c>
      <c r="J20" t="s">
        <v>60</v>
      </c>
      <c r="K20" t="s">
        <v>151</v>
      </c>
      <c r="L20">
        <v>1</v>
      </c>
      <c r="M20" t="s">
        <v>957</v>
      </c>
      <c r="N20" t="s">
        <v>1413</v>
      </c>
    </row>
    <row r="21" spans="1:14" x14ac:dyDescent="0.2">
      <c r="A21" t="str">
        <f t="shared" si="0"/>
        <v>2023-1-ASB-SP-LE-1-16S</v>
      </c>
      <c r="B21" t="s">
        <v>581</v>
      </c>
      <c r="C21" s="74" t="s">
        <v>199</v>
      </c>
      <c r="D21" s="88">
        <v>45061</v>
      </c>
      <c r="E21" t="s">
        <v>962</v>
      </c>
      <c r="F21" t="s">
        <v>551</v>
      </c>
      <c r="G21" t="s">
        <v>16</v>
      </c>
      <c r="H21" t="s">
        <v>548</v>
      </c>
      <c r="I21" t="s">
        <v>960</v>
      </c>
      <c r="J21" t="s">
        <v>60</v>
      </c>
      <c r="K21" t="s">
        <v>152</v>
      </c>
      <c r="L21">
        <v>1</v>
      </c>
      <c r="M21" t="s">
        <v>957</v>
      </c>
      <c r="N21" t="s">
        <v>1413</v>
      </c>
    </row>
    <row r="22" spans="1:14" x14ac:dyDescent="0.2">
      <c r="A22" t="str">
        <f t="shared" si="0"/>
        <v>2023-1-ASB-SP-FL-2-16S</v>
      </c>
      <c r="B22" t="s">
        <v>592</v>
      </c>
      <c r="C22" s="74" t="s">
        <v>200</v>
      </c>
      <c r="D22" s="88">
        <v>45061</v>
      </c>
      <c r="E22" t="s">
        <v>962</v>
      </c>
      <c r="F22" t="s">
        <v>551</v>
      </c>
      <c r="G22" t="s">
        <v>16</v>
      </c>
      <c r="H22" t="s">
        <v>548</v>
      </c>
      <c r="I22" t="s">
        <v>960</v>
      </c>
      <c r="J22" t="s">
        <v>60</v>
      </c>
      <c r="K22" t="s">
        <v>151</v>
      </c>
      <c r="L22">
        <v>2</v>
      </c>
      <c r="M22" t="s">
        <v>957</v>
      </c>
      <c r="N22" t="s">
        <v>1413</v>
      </c>
    </row>
    <row r="23" spans="1:14" x14ac:dyDescent="0.2">
      <c r="A23" t="str">
        <f t="shared" si="0"/>
        <v>2023-1-ASB-SP-LE-2-16S</v>
      </c>
      <c r="B23" t="s">
        <v>593</v>
      </c>
      <c r="C23" s="74" t="s">
        <v>201</v>
      </c>
      <c r="D23" s="88">
        <v>45061</v>
      </c>
      <c r="E23" t="s">
        <v>962</v>
      </c>
      <c r="F23" t="s">
        <v>551</v>
      </c>
      <c r="G23" t="s">
        <v>16</v>
      </c>
      <c r="H23" t="s">
        <v>548</v>
      </c>
      <c r="I23" t="s">
        <v>960</v>
      </c>
      <c r="J23" t="s">
        <v>60</v>
      </c>
      <c r="K23" t="s">
        <v>152</v>
      </c>
      <c r="L23">
        <v>2</v>
      </c>
      <c r="M23" t="s">
        <v>957</v>
      </c>
      <c r="N23" t="s">
        <v>1413</v>
      </c>
    </row>
    <row r="24" spans="1:14" x14ac:dyDescent="0.2">
      <c r="A24" t="str">
        <f t="shared" si="0"/>
        <v>2023-1-ASB-SP-FL-3-16S</v>
      </c>
      <c r="B24" t="s">
        <v>594</v>
      </c>
      <c r="C24" s="74" t="s">
        <v>202</v>
      </c>
      <c r="D24" s="88">
        <v>45061</v>
      </c>
      <c r="E24" t="s">
        <v>962</v>
      </c>
      <c r="F24" t="s">
        <v>551</v>
      </c>
      <c r="G24" t="s">
        <v>16</v>
      </c>
      <c r="H24" t="s">
        <v>548</v>
      </c>
      <c r="I24" t="s">
        <v>960</v>
      </c>
      <c r="J24" t="s">
        <v>60</v>
      </c>
      <c r="K24" t="s">
        <v>151</v>
      </c>
      <c r="L24">
        <v>3</v>
      </c>
      <c r="M24" t="s">
        <v>957</v>
      </c>
      <c r="N24" t="s">
        <v>1413</v>
      </c>
    </row>
    <row r="25" spans="1:14" x14ac:dyDescent="0.2">
      <c r="A25" t="str">
        <f t="shared" si="0"/>
        <v>2023-1-ASB-SP-LE-3-16S</v>
      </c>
      <c r="B25" t="s">
        <v>595</v>
      </c>
      <c r="C25" s="74" t="s">
        <v>203</v>
      </c>
      <c r="D25" s="88">
        <v>45061</v>
      </c>
      <c r="E25" t="s">
        <v>962</v>
      </c>
      <c r="F25" t="s">
        <v>551</v>
      </c>
      <c r="G25" t="s">
        <v>16</v>
      </c>
      <c r="H25" t="s">
        <v>548</v>
      </c>
      <c r="I25" t="s">
        <v>960</v>
      </c>
      <c r="J25" t="s">
        <v>60</v>
      </c>
      <c r="K25" t="s">
        <v>152</v>
      </c>
      <c r="L25">
        <v>3</v>
      </c>
      <c r="M25" t="s">
        <v>957</v>
      </c>
      <c r="N25" t="s">
        <v>1413</v>
      </c>
    </row>
    <row r="26" spans="1:14" x14ac:dyDescent="0.2">
      <c r="A26" t="str">
        <f t="shared" si="0"/>
        <v>2023-1-ASB-LI-FL-1-16S</v>
      </c>
      <c r="B26" t="s">
        <v>584</v>
      </c>
      <c r="C26" s="74" t="s">
        <v>204</v>
      </c>
      <c r="D26" s="88">
        <v>45061</v>
      </c>
      <c r="E26" t="s">
        <v>962</v>
      </c>
      <c r="F26" t="s">
        <v>551</v>
      </c>
      <c r="G26" t="s">
        <v>16</v>
      </c>
      <c r="H26" t="s">
        <v>548</v>
      </c>
      <c r="I26" t="s">
        <v>960</v>
      </c>
      <c r="J26" t="s">
        <v>36</v>
      </c>
      <c r="K26" t="s">
        <v>151</v>
      </c>
      <c r="L26">
        <v>1</v>
      </c>
      <c r="M26" t="s">
        <v>958</v>
      </c>
      <c r="N26" t="s">
        <v>1413</v>
      </c>
    </row>
    <row r="27" spans="1:14" x14ac:dyDescent="0.2">
      <c r="A27" t="str">
        <f t="shared" si="0"/>
        <v>2023-1-ASB-LI-LE-1-16S</v>
      </c>
      <c r="B27" t="s">
        <v>585</v>
      </c>
      <c r="C27" s="74" t="s">
        <v>205</v>
      </c>
      <c r="D27" s="88">
        <v>45061</v>
      </c>
      <c r="E27" t="s">
        <v>962</v>
      </c>
      <c r="F27" t="s">
        <v>551</v>
      </c>
      <c r="G27" t="s">
        <v>16</v>
      </c>
      <c r="H27" t="s">
        <v>548</v>
      </c>
      <c r="I27" t="s">
        <v>960</v>
      </c>
      <c r="J27" t="s">
        <v>36</v>
      </c>
      <c r="K27" t="s">
        <v>152</v>
      </c>
      <c r="L27">
        <v>1</v>
      </c>
      <c r="M27" t="s">
        <v>958</v>
      </c>
      <c r="N27" t="s">
        <v>1413</v>
      </c>
    </row>
    <row r="28" spans="1:14" x14ac:dyDescent="0.2">
      <c r="A28" t="str">
        <f t="shared" si="0"/>
        <v>2023-1-ASB-LI-FL-2-16S</v>
      </c>
      <c r="B28" t="s">
        <v>596</v>
      </c>
      <c r="C28" s="74" t="s">
        <v>206</v>
      </c>
      <c r="D28" s="88">
        <v>45061</v>
      </c>
      <c r="E28" t="s">
        <v>962</v>
      </c>
      <c r="F28" t="s">
        <v>551</v>
      </c>
      <c r="G28" t="s">
        <v>16</v>
      </c>
      <c r="H28" t="s">
        <v>548</v>
      </c>
      <c r="I28" t="s">
        <v>960</v>
      </c>
      <c r="J28" t="s">
        <v>36</v>
      </c>
      <c r="K28" t="s">
        <v>151</v>
      </c>
      <c r="L28">
        <v>2</v>
      </c>
      <c r="M28" t="s">
        <v>958</v>
      </c>
      <c r="N28" t="s">
        <v>1413</v>
      </c>
    </row>
    <row r="29" spans="1:14" x14ac:dyDescent="0.2">
      <c r="A29" t="str">
        <f t="shared" si="0"/>
        <v>2023-1-ASB-LI-LE-2-16S</v>
      </c>
      <c r="B29" t="s">
        <v>597</v>
      </c>
      <c r="C29" s="74" t="s">
        <v>207</v>
      </c>
      <c r="D29" s="88">
        <v>45061</v>
      </c>
      <c r="E29" t="s">
        <v>962</v>
      </c>
      <c r="F29" t="s">
        <v>551</v>
      </c>
      <c r="G29" t="s">
        <v>16</v>
      </c>
      <c r="H29" t="s">
        <v>548</v>
      </c>
      <c r="I29" t="s">
        <v>960</v>
      </c>
      <c r="J29" t="s">
        <v>36</v>
      </c>
      <c r="K29" t="s">
        <v>152</v>
      </c>
      <c r="L29">
        <v>2</v>
      </c>
      <c r="M29" t="s">
        <v>958</v>
      </c>
      <c r="N29" t="s">
        <v>1413</v>
      </c>
    </row>
    <row r="30" spans="1:14" x14ac:dyDescent="0.2">
      <c r="A30" t="str">
        <f t="shared" si="0"/>
        <v>2023-1-ASB-LI-FL-3-16S</v>
      </c>
      <c r="B30" t="s">
        <v>598</v>
      </c>
      <c r="C30" s="74" t="s">
        <v>208</v>
      </c>
      <c r="D30" s="88">
        <v>45061</v>
      </c>
      <c r="E30" t="s">
        <v>962</v>
      </c>
      <c r="F30" t="s">
        <v>551</v>
      </c>
      <c r="G30" t="s">
        <v>16</v>
      </c>
      <c r="H30" t="s">
        <v>548</v>
      </c>
      <c r="I30" t="s">
        <v>960</v>
      </c>
      <c r="J30" t="s">
        <v>36</v>
      </c>
      <c r="K30" t="s">
        <v>151</v>
      </c>
      <c r="L30">
        <v>3</v>
      </c>
      <c r="M30" t="s">
        <v>958</v>
      </c>
      <c r="N30" t="s">
        <v>1413</v>
      </c>
    </row>
    <row r="31" spans="1:14" x14ac:dyDescent="0.2">
      <c r="A31" t="str">
        <f t="shared" si="0"/>
        <v>2023-1-ASB-LI-LE-3-16S</v>
      </c>
      <c r="B31" t="s">
        <v>599</v>
      </c>
      <c r="C31" s="74" t="s">
        <v>209</v>
      </c>
      <c r="D31" s="88">
        <v>45061</v>
      </c>
      <c r="E31" t="s">
        <v>962</v>
      </c>
      <c r="F31" t="s">
        <v>551</v>
      </c>
      <c r="G31" t="s">
        <v>16</v>
      </c>
      <c r="H31" t="s">
        <v>548</v>
      </c>
      <c r="I31" t="s">
        <v>960</v>
      </c>
      <c r="J31" t="s">
        <v>36</v>
      </c>
      <c r="K31" t="s">
        <v>152</v>
      </c>
      <c r="L31">
        <v>3</v>
      </c>
      <c r="M31" t="s">
        <v>958</v>
      </c>
      <c r="N31" t="s">
        <v>1413</v>
      </c>
    </row>
    <row r="32" spans="1:14" x14ac:dyDescent="0.2">
      <c r="A32" t="str">
        <f t="shared" si="0"/>
        <v>2023-1-ASB-EM-FL-1-16S</v>
      </c>
      <c r="B32" t="s">
        <v>588</v>
      </c>
      <c r="C32" s="74" t="s">
        <v>210</v>
      </c>
      <c r="D32" s="88">
        <v>45061</v>
      </c>
      <c r="E32" t="s">
        <v>962</v>
      </c>
      <c r="F32" t="s">
        <v>551</v>
      </c>
      <c r="G32" t="s">
        <v>16</v>
      </c>
      <c r="H32" t="s">
        <v>548</v>
      </c>
      <c r="I32" t="s">
        <v>960</v>
      </c>
      <c r="J32" t="s">
        <v>45</v>
      </c>
      <c r="K32" t="s">
        <v>151</v>
      </c>
      <c r="L32">
        <v>1</v>
      </c>
      <c r="M32" t="s">
        <v>958</v>
      </c>
      <c r="N32" t="s">
        <v>1413</v>
      </c>
    </row>
    <row r="33" spans="1:14" x14ac:dyDescent="0.2">
      <c r="A33" t="str">
        <f t="shared" si="0"/>
        <v>2023-1-ASB-EM-LE-1-16S</v>
      </c>
      <c r="B33" t="s">
        <v>589</v>
      </c>
      <c r="C33" s="74" t="s">
        <v>211</v>
      </c>
      <c r="D33" s="88">
        <v>45061</v>
      </c>
      <c r="E33" t="s">
        <v>962</v>
      </c>
      <c r="F33" t="s">
        <v>551</v>
      </c>
      <c r="G33" t="s">
        <v>16</v>
      </c>
      <c r="H33" t="s">
        <v>548</v>
      </c>
      <c r="I33" t="s">
        <v>960</v>
      </c>
      <c r="J33" t="s">
        <v>45</v>
      </c>
      <c r="K33" t="s">
        <v>152</v>
      </c>
      <c r="L33">
        <v>1</v>
      </c>
      <c r="M33" t="s">
        <v>958</v>
      </c>
      <c r="N33" t="s">
        <v>1413</v>
      </c>
    </row>
    <row r="34" spans="1:14" x14ac:dyDescent="0.2">
      <c r="A34" t="str">
        <f t="shared" si="0"/>
        <v>2023-1-ASB-EM-FL-2-16S</v>
      </c>
      <c r="B34" t="s">
        <v>600</v>
      </c>
      <c r="C34" s="74" t="s">
        <v>212</v>
      </c>
      <c r="D34" s="88">
        <v>45061</v>
      </c>
      <c r="E34" t="s">
        <v>962</v>
      </c>
      <c r="F34" t="s">
        <v>551</v>
      </c>
      <c r="G34" t="s">
        <v>16</v>
      </c>
      <c r="H34" t="s">
        <v>548</v>
      </c>
      <c r="I34" t="s">
        <v>960</v>
      </c>
      <c r="J34" t="s">
        <v>45</v>
      </c>
      <c r="K34" t="s">
        <v>151</v>
      </c>
      <c r="L34">
        <v>2</v>
      </c>
      <c r="M34" t="s">
        <v>958</v>
      </c>
      <c r="N34" t="s">
        <v>1413</v>
      </c>
    </row>
    <row r="35" spans="1:14" x14ac:dyDescent="0.2">
      <c r="A35" t="str">
        <f t="shared" si="0"/>
        <v>2023-1-ASB-EM-LE-2-16S</v>
      </c>
      <c r="B35" t="s">
        <v>601</v>
      </c>
      <c r="C35" s="74" t="s">
        <v>213</v>
      </c>
      <c r="D35" s="88">
        <v>45061</v>
      </c>
      <c r="E35" t="s">
        <v>962</v>
      </c>
      <c r="F35" t="s">
        <v>551</v>
      </c>
      <c r="G35" t="s">
        <v>16</v>
      </c>
      <c r="H35" t="s">
        <v>548</v>
      </c>
      <c r="I35" t="s">
        <v>960</v>
      </c>
      <c r="J35" t="s">
        <v>45</v>
      </c>
      <c r="K35" t="s">
        <v>152</v>
      </c>
      <c r="L35">
        <v>2</v>
      </c>
      <c r="M35" t="s">
        <v>958</v>
      </c>
      <c r="N35" t="s">
        <v>1413</v>
      </c>
    </row>
    <row r="36" spans="1:14" x14ac:dyDescent="0.2">
      <c r="A36" t="str">
        <f t="shared" si="0"/>
        <v>2023-1-ASB-EM-FL-3-16S</v>
      </c>
      <c r="B36" t="s">
        <v>602</v>
      </c>
      <c r="C36" s="74" t="s">
        <v>214</v>
      </c>
      <c r="D36" s="88">
        <v>45061</v>
      </c>
      <c r="E36" t="s">
        <v>962</v>
      </c>
      <c r="F36" t="s">
        <v>551</v>
      </c>
      <c r="G36" t="s">
        <v>16</v>
      </c>
      <c r="H36" t="s">
        <v>548</v>
      </c>
      <c r="I36" t="s">
        <v>960</v>
      </c>
      <c r="J36" t="s">
        <v>45</v>
      </c>
      <c r="K36" t="s">
        <v>151</v>
      </c>
      <c r="L36">
        <v>3</v>
      </c>
      <c r="M36" t="s">
        <v>958</v>
      </c>
      <c r="N36" t="s">
        <v>1413</v>
      </c>
    </row>
    <row r="37" spans="1:14" x14ac:dyDescent="0.2">
      <c r="A37" t="str">
        <f t="shared" si="0"/>
        <v>2023-1-ASB-EM-LE-3-16S</v>
      </c>
      <c r="B37" t="s">
        <v>603</v>
      </c>
      <c r="C37" s="74" t="s">
        <v>215</v>
      </c>
      <c r="D37" s="88">
        <v>45061</v>
      </c>
      <c r="E37" t="s">
        <v>962</v>
      </c>
      <c r="F37" t="s">
        <v>551</v>
      </c>
      <c r="G37" t="s">
        <v>16</v>
      </c>
      <c r="H37" t="s">
        <v>548</v>
      </c>
      <c r="I37" t="s">
        <v>960</v>
      </c>
      <c r="J37" t="s">
        <v>45</v>
      </c>
      <c r="K37" t="s">
        <v>152</v>
      </c>
      <c r="L37">
        <v>3</v>
      </c>
      <c r="M37" t="s">
        <v>958</v>
      </c>
      <c r="N37" t="s">
        <v>1413</v>
      </c>
    </row>
    <row r="38" spans="1:14" x14ac:dyDescent="0.2">
      <c r="A38" t="str">
        <f t="shared" si="0"/>
        <v>2023-1-PMB-CL-FL-1-16S</v>
      </c>
      <c r="B38" t="s">
        <v>604</v>
      </c>
      <c r="C38" s="74" t="s">
        <v>216</v>
      </c>
      <c r="D38" s="88">
        <v>45061</v>
      </c>
      <c r="E38" t="s">
        <v>962</v>
      </c>
      <c r="F38" t="s">
        <v>8</v>
      </c>
      <c r="G38" t="s">
        <v>9</v>
      </c>
      <c r="H38" t="s">
        <v>545</v>
      </c>
      <c r="I38" t="s">
        <v>960</v>
      </c>
      <c r="J38" t="s">
        <v>43</v>
      </c>
      <c r="K38" t="s">
        <v>151</v>
      </c>
      <c r="L38">
        <v>1</v>
      </c>
      <c r="M38" t="s">
        <v>956</v>
      </c>
      <c r="N38" t="s">
        <v>1413</v>
      </c>
    </row>
    <row r="39" spans="1:14" x14ac:dyDescent="0.2">
      <c r="A39" t="str">
        <f t="shared" si="0"/>
        <v>2023-1-PMB-CL-LE-1-16S</v>
      </c>
      <c r="B39" t="s">
        <v>605</v>
      </c>
      <c r="C39" s="74" t="s">
        <v>217</v>
      </c>
      <c r="D39" s="88">
        <v>45061</v>
      </c>
      <c r="E39" t="s">
        <v>962</v>
      </c>
      <c r="F39" t="s">
        <v>8</v>
      </c>
      <c r="G39" t="s">
        <v>9</v>
      </c>
      <c r="H39" t="s">
        <v>545</v>
      </c>
      <c r="I39" t="s">
        <v>960</v>
      </c>
      <c r="J39" t="s">
        <v>43</v>
      </c>
      <c r="K39" t="s">
        <v>152</v>
      </c>
      <c r="L39">
        <v>1</v>
      </c>
      <c r="M39" t="s">
        <v>956</v>
      </c>
      <c r="N39" t="s">
        <v>1413</v>
      </c>
    </row>
    <row r="40" spans="1:14" x14ac:dyDescent="0.2">
      <c r="A40" t="str">
        <f t="shared" si="0"/>
        <v>2023-1-PMB-CL-FL-2-16S</v>
      </c>
      <c r="B40" t="s">
        <v>608</v>
      </c>
      <c r="C40" s="74" t="s">
        <v>218</v>
      </c>
      <c r="D40" s="88">
        <v>45061</v>
      </c>
      <c r="E40" t="s">
        <v>962</v>
      </c>
      <c r="F40" t="s">
        <v>8</v>
      </c>
      <c r="G40" t="s">
        <v>9</v>
      </c>
      <c r="H40" t="s">
        <v>545</v>
      </c>
      <c r="I40" t="s">
        <v>960</v>
      </c>
      <c r="J40" t="s">
        <v>43</v>
      </c>
      <c r="K40" t="s">
        <v>151</v>
      </c>
      <c r="L40">
        <v>2</v>
      </c>
      <c r="M40" t="s">
        <v>956</v>
      </c>
      <c r="N40" t="s">
        <v>1413</v>
      </c>
    </row>
    <row r="41" spans="1:14" x14ac:dyDescent="0.2">
      <c r="A41" t="str">
        <f t="shared" si="0"/>
        <v>2023-1-PMB-CL-LE-2-16S</v>
      </c>
      <c r="B41" t="s">
        <v>609</v>
      </c>
      <c r="C41" s="74" t="s">
        <v>219</v>
      </c>
      <c r="D41" s="88">
        <v>45061</v>
      </c>
      <c r="E41" t="s">
        <v>962</v>
      </c>
      <c r="F41" t="s">
        <v>8</v>
      </c>
      <c r="G41" t="s">
        <v>9</v>
      </c>
      <c r="H41" t="s">
        <v>545</v>
      </c>
      <c r="I41" t="s">
        <v>960</v>
      </c>
      <c r="J41" t="s">
        <v>43</v>
      </c>
      <c r="K41" t="s">
        <v>152</v>
      </c>
      <c r="L41">
        <v>2</v>
      </c>
      <c r="M41" t="s">
        <v>956</v>
      </c>
      <c r="N41" t="s">
        <v>1413</v>
      </c>
    </row>
    <row r="42" spans="1:14" x14ac:dyDescent="0.2">
      <c r="A42" t="str">
        <f t="shared" si="0"/>
        <v>2023-1-PMB-CL-FL-3-16S</v>
      </c>
      <c r="B42" t="s">
        <v>610</v>
      </c>
      <c r="C42" s="74" t="s">
        <v>220</v>
      </c>
      <c r="D42" s="88">
        <v>45061</v>
      </c>
      <c r="E42" t="s">
        <v>962</v>
      </c>
      <c r="F42" t="s">
        <v>8</v>
      </c>
      <c r="G42" t="s">
        <v>9</v>
      </c>
      <c r="H42" t="s">
        <v>545</v>
      </c>
      <c r="I42" t="s">
        <v>960</v>
      </c>
      <c r="J42" t="s">
        <v>43</v>
      </c>
      <c r="K42" t="s">
        <v>151</v>
      </c>
      <c r="L42">
        <v>3</v>
      </c>
      <c r="M42" t="s">
        <v>956</v>
      </c>
      <c r="N42" t="s">
        <v>1413</v>
      </c>
    </row>
    <row r="43" spans="1:14" x14ac:dyDescent="0.2">
      <c r="A43" t="str">
        <f t="shared" si="0"/>
        <v>2023-1-PMB-CL-LE-3-16S</v>
      </c>
      <c r="B43" t="s">
        <v>611</v>
      </c>
      <c r="C43" s="74" t="s">
        <v>221</v>
      </c>
      <c r="D43" s="88">
        <v>45061</v>
      </c>
      <c r="E43" t="s">
        <v>962</v>
      </c>
      <c r="F43" t="s">
        <v>8</v>
      </c>
      <c r="G43" t="s">
        <v>9</v>
      </c>
      <c r="H43" t="s">
        <v>545</v>
      </c>
      <c r="I43" t="s">
        <v>960</v>
      </c>
      <c r="J43" t="s">
        <v>43</v>
      </c>
      <c r="K43" t="s">
        <v>152</v>
      </c>
      <c r="L43">
        <v>3</v>
      </c>
      <c r="M43" t="s">
        <v>956</v>
      </c>
      <c r="N43" t="s">
        <v>1413</v>
      </c>
    </row>
    <row r="44" spans="1:14" x14ac:dyDescent="0.2">
      <c r="A44" t="str">
        <f t="shared" si="0"/>
        <v>2023-1-PMB-PR-FL-1-16S</v>
      </c>
      <c r="B44" t="s">
        <v>612</v>
      </c>
      <c r="C44" s="74" t="s">
        <v>222</v>
      </c>
      <c r="D44" s="88">
        <v>45061</v>
      </c>
      <c r="E44" t="s">
        <v>962</v>
      </c>
      <c r="F44" t="s">
        <v>8</v>
      </c>
      <c r="G44" t="s">
        <v>9</v>
      </c>
      <c r="H44" t="s">
        <v>545</v>
      </c>
      <c r="I44" t="s">
        <v>960</v>
      </c>
      <c r="J44" t="s">
        <v>74</v>
      </c>
      <c r="K44" t="s">
        <v>151</v>
      </c>
      <c r="L44">
        <v>1</v>
      </c>
      <c r="M44" t="s">
        <v>956</v>
      </c>
      <c r="N44" t="s">
        <v>1413</v>
      </c>
    </row>
    <row r="45" spans="1:14" x14ac:dyDescent="0.2">
      <c r="A45" t="str">
        <f t="shared" si="0"/>
        <v>2023-1-PMP-PR-LE-1-16S</v>
      </c>
      <c r="B45" t="s">
        <v>615</v>
      </c>
      <c r="C45" s="74" t="s">
        <v>223</v>
      </c>
      <c r="D45" s="88">
        <v>45061</v>
      </c>
      <c r="E45" t="s">
        <v>962</v>
      </c>
      <c r="F45" t="s">
        <v>8</v>
      </c>
      <c r="G45" t="s">
        <v>9</v>
      </c>
      <c r="H45" t="s">
        <v>545</v>
      </c>
      <c r="I45" t="s">
        <v>960</v>
      </c>
      <c r="J45" t="s">
        <v>74</v>
      </c>
      <c r="K45" t="s">
        <v>152</v>
      </c>
      <c r="L45">
        <v>1</v>
      </c>
      <c r="M45" t="s">
        <v>956</v>
      </c>
      <c r="N45" t="s">
        <v>1413</v>
      </c>
    </row>
    <row r="46" spans="1:14" x14ac:dyDescent="0.2">
      <c r="A46" t="str">
        <f t="shared" si="0"/>
        <v>2023-1-PMB-PR-FL-2-16S</v>
      </c>
      <c r="B46" t="s">
        <v>616</v>
      </c>
      <c r="C46" s="74" t="s">
        <v>224</v>
      </c>
      <c r="D46" s="88">
        <v>45061</v>
      </c>
      <c r="E46" t="s">
        <v>962</v>
      </c>
      <c r="F46" t="s">
        <v>8</v>
      </c>
      <c r="G46" t="s">
        <v>9</v>
      </c>
      <c r="H46" t="s">
        <v>545</v>
      </c>
      <c r="I46" t="s">
        <v>960</v>
      </c>
      <c r="J46" t="s">
        <v>74</v>
      </c>
      <c r="K46" t="s">
        <v>151</v>
      </c>
      <c r="L46">
        <v>2</v>
      </c>
      <c r="M46" t="s">
        <v>956</v>
      </c>
      <c r="N46" t="s">
        <v>1413</v>
      </c>
    </row>
    <row r="47" spans="1:14" x14ac:dyDescent="0.2">
      <c r="A47" t="str">
        <f t="shared" si="0"/>
        <v>2023-1-PMP-PR-LE-2-16S</v>
      </c>
      <c r="B47" t="s">
        <v>617</v>
      </c>
      <c r="C47" s="74" t="s">
        <v>225</v>
      </c>
      <c r="D47" s="88">
        <v>45061</v>
      </c>
      <c r="E47" t="s">
        <v>962</v>
      </c>
      <c r="F47" t="s">
        <v>8</v>
      </c>
      <c r="G47" t="s">
        <v>9</v>
      </c>
      <c r="H47" t="s">
        <v>545</v>
      </c>
      <c r="I47" t="s">
        <v>960</v>
      </c>
      <c r="J47" t="s">
        <v>74</v>
      </c>
      <c r="K47" t="s">
        <v>152</v>
      </c>
      <c r="L47">
        <v>2</v>
      </c>
      <c r="M47" t="s">
        <v>956</v>
      </c>
      <c r="N47" t="s">
        <v>1413</v>
      </c>
    </row>
    <row r="48" spans="1:14" x14ac:dyDescent="0.2">
      <c r="A48" t="str">
        <f t="shared" si="0"/>
        <v>2023-1-PMB-PR-FL-3-16S</v>
      </c>
      <c r="B48" t="s">
        <v>618</v>
      </c>
      <c r="C48" s="74" t="s">
        <v>226</v>
      </c>
      <c r="D48" s="88">
        <v>45061</v>
      </c>
      <c r="E48" t="s">
        <v>962</v>
      </c>
      <c r="F48" t="s">
        <v>8</v>
      </c>
      <c r="G48" t="s">
        <v>9</v>
      </c>
      <c r="H48" t="s">
        <v>545</v>
      </c>
      <c r="I48" t="s">
        <v>960</v>
      </c>
      <c r="J48" t="s">
        <v>74</v>
      </c>
      <c r="K48" t="s">
        <v>151</v>
      </c>
      <c r="L48">
        <v>3</v>
      </c>
      <c r="M48" t="s">
        <v>956</v>
      </c>
      <c r="N48" t="s">
        <v>1413</v>
      </c>
    </row>
    <row r="49" spans="1:14" x14ac:dyDescent="0.2">
      <c r="A49" t="str">
        <f t="shared" si="0"/>
        <v>2023-1-PMB-PR-LE-3-16S</v>
      </c>
      <c r="B49" t="s">
        <v>619</v>
      </c>
      <c r="C49" s="74" t="s">
        <v>227</v>
      </c>
      <c r="D49" s="88">
        <v>45061</v>
      </c>
      <c r="E49" t="s">
        <v>962</v>
      </c>
      <c r="F49" t="s">
        <v>8</v>
      </c>
      <c r="G49" t="s">
        <v>9</v>
      </c>
      <c r="H49" t="s">
        <v>545</v>
      </c>
      <c r="I49" t="s">
        <v>960</v>
      </c>
      <c r="J49" t="s">
        <v>74</v>
      </c>
      <c r="K49" t="s">
        <v>152</v>
      </c>
      <c r="L49">
        <v>3</v>
      </c>
      <c r="M49" t="s">
        <v>956</v>
      </c>
      <c r="N49" t="s">
        <v>1413</v>
      </c>
    </row>
    <row r="50" spans="1:14" x14ac:dyDescent="0.2">
      <c r="A50" t="str">
        <f t="shared" si="0"/>
        <v>2023-1-PMB-HC-FL-1-16S</v>
      </c>
      <c r="B50" t="s">
        <v>620</v>
      </c>
      <c r="C50" s="74" t="s">
        <v>228</v>
      </c>
      <c r="D50" s="88">
        <v>45061</v>
      </c>
      <c r="E50" t="s">
        <v>962</v>
      </c>
      <c r="F50" t="s">
        <v>8</v>
      </c>
      <c r="G50" t="s">
        <v>9</v>
      </c>
      <c r="H50" t="s">
        <v>545</v>
      </c>
      <c r="I50" t="s">
        <v>960</v>
      </c>
      <c r="J50" t="s">
        <v>51</v>
      </c>
      <c r="K50" t="s">
        <v>151</v>
      </c>
      <c r="L50">
        <v>1</v>
      </c>
      <c r="M50" t="s">
        <v>957</v>
      </c>
      <c r="N50" t="s">
        <v>1413</v>
      </c>
    </row>
    <row r="51" spans="1:14" x14ac:dyDescent="0.2">
      <c r="A51" t="str">
        <f t="shared" si="0"/>
        <v>2023-1-PMB-HC-LE-1-16S</v>
      </c>
      <c r="B51" t="s">
        <v>621</v>
      </c>
      <c r="C51" s="74" t="s">
        <v>229</v>
      </c>
      <c r="D51" s="88">
        <v>45061</v>
      </c>
      <c r="E51" t="s">
        <v>962</v>
      </c>
      <c r="F51" t="s">
        <v>8</v>
      </c>
      <c r="G51" t="s">
        <v>9</v>
      </c>
      <c r="H51" t="s">
        <v>545</v>
      </c>
      <c r="I51" t="s">
        <v>960</v>
      </c>
      <c r="J51" t="s">
        <v>51</v>
      </c>
      <c r="K51" t="s">
        <v>152</v>
      </c>
      <c r="L51">
        <v>1</v>
      </c>
      <c r="M51" t="s">
        <v>957</v>
      </c>
      <c r="N51" t="s">
        <v>1413</v>
      </c>
    </row>
    <row r="52" spans="1:14" x14ac:dyDescent="0.2">
      <c r="A52" t="str">
        <f t="shared" si="0"/>
        <v>2023-1-PMB-HC-FL-2-16S</v>
      </c>
      <c r="B52" t="s">
        <v>624</v>
      </c>
      <c r="C52" s="74" t="s">
        <v>230</v>
      </c>
      <c r="D52" s="88">
        <v>45061</v>
      </c>
      <c r="E52" t="s">
        <v>962</v>
      </c>
      <c r="F52" t="s">
        <v>8</v>
      </c>
      <c r="G52" t="s">
        <v>9</v>
      </c>
      <c r="H52" t="s">
        <v>545</v>
      </c>
      <c r="I52" t="s">
        <v>960</v>
      </c>
      <c r="J52" t="s">
        <v>51</v>
      </c>
      <c r="K52" t="s">
        <v>151</v>
      </c>
      <c r="L52">
        <v>2</v>
      </c>
      <c r="M52" t="s">
        <v>957</v>
      </c>
      <c r="N52" t="s">
        <v>1413</v>
      </c>
    </row>
    <row r="53" spans="1:14" x14ac:dyDescent="0.2">
      <c r="A53" t="str">
        <f t="shared" si="0"/>
        <v>2023-1-PMB-HC-LE-2-16S</v>
      </c>
      <c r="B53" t="s">
        <v>625</v>
      </c>
      <c r="C53" s="74" t="s">
        <v>231</v>
      </c>
      <c r="D53" s="88">
        <v>45061</v>
      </c>
      <c r="E53" t="s">
        <v>962</v>
      </c>
      <c r="F53" t="s">
        <v>8</v>
      </c>
      <c r="G53" t="s">
        <v>9</v>
      </c>
      <c r="H53" t="s">
        <v>545</v>
      </c>
      <c r="I53" t="s">
        <v>960</v>
      </c>
      <c r="J53" t="s">
        <v>51</v>
      </c>
      <c r="K53" t="s">
        <v>152</v>
      </c>
      <c r="L53">
        <v>2</v>
      </c>
      <c r="M53" t="s">
        <v>957</v>
      </c>
      <c r="N53" t="s">
        <v>1413</v>
      </c>
    </row>
    <row r="54" spans="1:14" x14ac:dyDescent="0.2">
      <c r="A54" t="str">
        <f t="shared" si="0"/>
        <v>2023-1-PMB-HC-FL-3-16S</v>
      </c>
      <c r="B54" t="s">
        <v>626</v>
      </c>
      <c r="C54" s="74" t="s">
        <v>232</v>
      </c>
      <c r="D54" s="88">
        <v>45061</v>
      </c>
      <c r="E54" t="s">
        <v>962</v>
      </c>
      <c r="F54" t="s">
        <v>8</v>
      </c>
      <c r="G54" t="s">
        <v>9</v>
      </c>
      <c r="H54" t="s">
        <v>545</v>
      </c>
      <c r="I54" t="s">
        <v>960</v>
      </c>
      <c r="J54" t="s">
        <v>51</v>
      </c>
      <c r="K54" t="s">
        <v>151</v>
      </c>
      <c r="L54">
        <v>3</v>
      </c>
      <c r="M54" t="s">
        <v>957</v>
      </c>
      <c r="N54" t="s">
        <v>1413</v>
      </c>
    </row>
    <row r="55" spans="1:14" x14ac:dyDescent="0.2">
      <c r="A55" t="str">
        <f t="shared" si="0"/>
        <v>2023-1-PMB-HC-LE-3-16S</v>
      </c>
      <c r="B55" t="s">
        <v>627</v>
      </c>
      <c r="C55" s="74" t="s">
        <v>233</v>
      </c>
      <c r="D55" s="88">
        <v>45061</v>
      </c>
      <c r="E55" t="s">
        <v>962</v>
      </c>
      <c r="F55" t="s">
        <v>8</v>
      </c>
      <c r="G55" t="s">
        <v>9</v>
      </c>
      <c r="H55" t="s">
        <v>545</v>
      </c>
      <c r="I55" t="s">
        <v>960</v>
      </c>
      <c r="J55" t="s">
        <v>51</v>
      </c>
      <c r="K55" t="s">
        <v>152</v>
      </c>
      <c r="L55">
        <v>3</v>
      </c>
      <c r="M55" t="s">
        <v>957</v>
      </c>
      <c r="N55" t="s">
        <v>1413</v>
      </c>
    </row>
    <row r="56" spans="1:14" x14ac:dyDescent="0.2">
      <c r="A56" t="str">
        <f t="shared" si="0"/>
        <v>2023-1-PMB-SP-FL-1-16S</v>
      </c>
      <c r="B56" t="s">
        <v>628</v>
      </c>
      <c r="C56" s="74" t="s">
        <v>234</v>
      </c>
      <c r="D56" s="88">
        <v>45061</v>
      </c>
      <c r="E56" t="s">
        <v>962</v>
      </c>
      <c r="F56" t="s">
        <v>8</v>
      </c>
      <c r="G56" t="s">
        <v>9</v>
      </c>
      <c r="H56" t="s">
        <v>545</v>
      </c>
      <c r="I56" t="s">
        <v>960</v>
      </c>
      <c r="J56" t="s">
        <v>60</v>
      </c>
      <c r="K56" t="s">
        <v>151</v>
      </c>
      <c r="L56">
        <v>1</v>
      </c>
      <c r="M56" t="s">
        <v>957</v>
      </c>
      <c r="N56" t="s">
        <v>1413</v>
      </c>
    </row>
    <row r="57" spans="1:14" x14ac:dyDescent="0.2">
      <c r="A57" t="str">
        <f t="shared" si="0"/>
        <v>2023-1-PMB-SP-LE-1-16S</v>
      </c>
      <c r="B57" t="s">
        <v>629</v>
      </c>
      <c r="C57" s="74" t="s">
        <v>235</v>
      </c>
      <c r="D57" s="88">
        <v>45061</v>
      </c>
      <c r="E57" t="s">
        <v>962</v>
      </c>
      <c r="F57" t="s">
        <v>8</v>
      </c>
      <c r="G57" t="s">
        <v>9</v>
      </c>
      <c r="H57" t="s">
        <v>545</v>
      </c>
      <c r="I57" t="s">
        <v>960</v>
      </c>
      <c r="J57" t="s">
        <v>60</v>
      </c>
      <c r="K57" t="s">
        <v>152</v>
      </c>
      <c r="L57">
        <v>1</v>
      </c>
      <c r="M57" t="s">
        <v>957</v>
      </c>
      <c r="N57" t="s">
        <v>1413</v>
      </c>
    </row>
    <row r="58" spans="1:14" x14ac:dyDescent="0.2">
      <c r="A58" t="str">
        <f t="shared" si="0"/>
        <v>2023-1-PMB-SP-FL-2-16S</v>
      </c>
      <c r="B58" t="s">
        <v>678</v>
      </c>
      <c r="C58" s="74" t="s">
        <v>236</v>
      </c>
      <c r="D58" s="88">
        <v>45061</v>
      </c>
      <c r="E58" t="s">
        <v>962</v>
      </c>
      <c r="F58" t="s">
        <v>8</v>
      </c>
      <c r="G58" t="s">
        <v>9</v>
      </c>
      <c r="H58" t="s">
        <v>545</v>
      </c>
      <c r="I58" t="s">
        <v>960</v>
      </c>
      <c r="J58" t="s">
        <v>60</v>
      </c>
      <c r="K58" t="s">
        <v>151</v>
      </c>
      <c r="L58">
        <v>2</v>
      </c>
      <c r="M58" t="s">
        <v>957</v>
      </c>
      <c r="N58" t="s">
        <v>1413</v>
      </c>
    </row>
    <row r="59" spans="1:14" x14ac:dyDescent="0.2">
      <c r="A59" t="str">
        <f t="shared" si="0"/>
        <v>2023-1-PMB-SP-LE-2-16S</v>
      </c>
      <c r="B59" t="s">
        <v>679</v>
      </c>
      <c r="C59" s="74" t="s">
        <v>237</v>
      </c>
      <c r="D59" s="88">
        <v>45061</v>
      </c>
      <c r="E59" t="s">
        <v>962</v>
      </c>
      <c r="F59" t="s">
        <v>8</v>
      </c>
      <c r="G59" t="s">
        <v>9</v>
      </c>
      <c r="H59" t="s">
        <v>545</v>
      </c>
      <c r="I59" t="s">
        <v>960</v>
      </c>
      <c r="J59" t="s">
        <v>60</v>
      </c>
      <c r="K59" t="s">
        <v>152</v>
      </c>
      <c r="L59">
        <v>2</v>
      </c>
      <c r="M59" t="s">
        <v>957</v>
      </c>
      <c r="N59" t="s">
        <v>1413</v>
      </c>
    </row>
    <row r="60" spans="1:14" x14ac:dyDescent="0.2">
      <c r="A60" t="str">
        <f t="shared" si="0"/>
        <v>2023-1-PMB-SP-FL-3-16S</v>
      </c>
      <c r="B60" t="s">
        <v>680</v>
      </c>
      <c r="C60" s="74" t="s">
        <v>238</v>
      </c>
      <c r="D60" s="88">
        <v>45061</v>
      </c>
      <c r="E60" t="s">
        <v>962</v>
      </c>
      <c r="F60" t="s">
        <v>8</v>
      </c>
      <c r="G60" t="s">
        <v>9</v>
      </c>
      <c r="H60" t="s">
        <v>545</v>
      </c>
      <c r="I60" t="s">
        <v>960</v>
      </c>
      <c r="J60" t="s">
        <v>60</v>
      </c>
      <c r="K60" t="s">
        <v>151</v>
      </c>
      <c r="L60">
        <v>3</v>
      </c>
      <c r="M60" t="s">
        <v>957</v>
      </c>
      <c r="N60" t="s">
        <v>1413</v>
      </c>
    </row>
    <row r="61" spans="1:14" x14ac:dyDescent="0.2">
      <c r="A61" t="str">
        <f t="shared" si="0"/>
        <v>2023-1-PMB-SP-LE-3-16S</v>
      </c>
      <c r="B61" t="s">
        <v>681</v>
      </c>
      <c r="C61" s="74" t="s">
        <v>239</v>
      </c>
      <c r="D61" s="88">
        <v>45061</v>
      </c>
      <c r="E61" t="s">
        <v>962</v>
      </c>
      <c r="F61" t="s">
        <v>8</v>
      </c>
      <c r="G61" t="s">
        <v>9</v>
      </c>
      <c r="H61" t="s">
        <v>545</v>
      </c>
      <c r="I61" t="s">
        <v>960</v>
      </c>
      <c r="J61" t="s">
        <v>60</v>
      </c>
      <c r="K61" t="s">
        <v>152</v>
      </c>
      <c r="L61">
        <v>3</v>
      </c>
      <c r="M61" t="s">
        <v>957</v>
      </c>
      <c r="N61" t="s">
        <v>1413</v>
      </c>
    </row>
    <row r="62" spans="1:14" x14ac:dyDescent="0.2">
      <c r="A62" t="str">
        <f t="shared" si="0"/>
        <v>2023-1-PMB-LI-FL-1-16S</v>
      </c>
      <c r="B62" t="s">
        <v>632</v>
      </c>
      <c r="C62" s="74" t="s">
        <v>240</v>
      </c>
      <c r="D62" s="88">
        <v>45061</v>
      </c>
      <c r="E62" t="s">
        <v>962</v>
      </c>
      <c r="F62" t="s">
        <v>8</v>
      </c>
      <c r="G62" t="s">
        <v>9</v>
      </c>
      <c r="H62" t="s">
        <v>545</v>
      </c>
      <c r="I62" t="s">
        <v>960</v>
      </c>
      <c r="J62" t="s">
        <v>36</v>
      </c>
      <c r="K62" t="s">
        <v>151</v>
      </c>
      <c r="L62">
        <v>1</v>
      </c>
      <c r="M62" t="s">
        <v>958</v>
      </c>
      <c r="N62" t="s">
        <v>1413</v>
      </c>
    </row>
    <row r="63" spans="1:14" x14ac:dyDescent="0.2">
      <c r="A63" t="str">
        <f t="shared" si="0"/>
        <v>2023-1-PMB-LI-LE-1-16S</v>
      </c>
      <c r="B63" t="s">
        <v>633</v>
      </c>
      <c r="C63" s="74" t="s">
        <v>241</v>
      </c>
      <c r="D63" s="88">
        <v>45061</v>
      </c>
      <c r="E63" t="s">
        <v>962</v>
      </c>
      <c r="F63" t="s">
        <v>8</v>
      </c>
      <c r="G63" t="s">
        <v>9</v>
      </c>
      <c r="H63" t="s">
        <v>545</v>
      </c>
      <c r="I63" t="s">
        <v>960</v>
      </c>
      <c r="J63" t="s">
        <v>36</v>
      </c>
      <c r="K63" t="s">
        <v>152</v>
      </c>
      <c r="L63">
        <v>1</v>
      </c>
      <c r="M63" t="s">
        <v>958</v>
      </c>
      <c r="N63" t="s">
        <v>1413</v>
      </c>
    </row>
    <row r="64" spans="1:14" x14ac:dyDescent="0.2">
      <c r="A64" t="str">
        <f t="shared" si="0"/>
        <v>2023-1-PMB-LI-FL-2-16S</v>
      </c>
      <c r="B64" t="s">
        <v>682</v>
      </c>
      <c r="C64" s="74" t="s">
        <v>242</v>
      </c>
      <c r="D64" s="88">
        <v>45061</v>
      </c>
      <c r="E64" t="s">
        <v>962</v>
      </c>
      <c r="F64" t="s">
        <v>8</v>
      </c>
      <c r="G64" t="s">
        <v>9</v>
      </c>
      <c r="H64" t="s">
        <v>545</v>
      </c>
      <c r="I64" t="s">
        <v>960</v>
      </c>
      <c r="J64" t="s">
        <v>36</v>
      </c>
      <c r="K64" t="s">
        <v>151</v>
      </c>
      <c r="L64">
        <v>2</v>
      </c>
      <c r="M64" t="s">
        <v>958</v>
      </c>
      <c r="N64" t="s">
        <v>1413</v>
      </c>
    </row>
    <row r="65" spans="1:14" x14ac:dyDescent="0.2">
      <c r="A65" t="str">
        <f t="shared" si="0"/>
        <v>2023-1-PMB-LI-LE-2-16S</v>
      </c>
      <c r="B65" t="s">
        <v>683</v>
      </c>
      <c r="C65" s="74" t="s">
        <v>243</v>
      </c>
      <c r="D65" s="88">
        <v>45061</v>
      </c>
      <c r="E65" t="s">
        <v>962</v>
      </c>
      <c r="F65" t="s">
        <v>8</v>
      </c>
      <c r="G65" t="s">
        <v>9</v>
      </c>
      <c r="H65" t="s">
        <v>545</v>
      </c>
      <c r="I65" t="s">
        <v>960</v>
      </c>
      <c r="J65" t="s">
        <v>36</v>
      </c>
      <c r="K65" t="s">
        <v>152</v>
      </c>
      <c r="L65">
        <v>2</v>
      </c>
      <c r="M65" t="s">
        <v>958</v>
      </c>
      <c r="N65" t="s">
        <v>1413</v>
      </c>
    </row>
    <row r="66" spans="1:14" x14ac:dyDescent="0.2">
      <c r="A66" t="str">
        <f t="shared" si="0"/>
        <v>2023-1-PMB-LI-FL-3-16S</v>
      </c>
      <c r="B66" t="s">
        <v>684</v>
      </c>
      <c r="C66" s="74" t="s">
        <v>244</v>
      </c>
      <c r="D66" s="88">
        <v>45061</v>
      </c>
      <c r="E66" t="s">
        <v>962</v>
      </c>
      <c r="F66" t="s">
        <v>8</v>
      </c>
      <c r="G66" t="s">
        <v>9</v>
      </c>
      <c r="H66" t="s">
        <v>545</v>
      </c>
      <c r="I66" t="s">
        <v>960</v>
      </c>
      <c r="J66" t="s">
        <v>36</v>
      </c>
      <c r="K66" t="s">
        <v>151</v>
      </c>
      <c r="L66">
        <v>3</v>
      </c>
      <c r="M66" t="s">
        <v>958</v>
      </c>
      <c r="N66" t="s">
        <v>1413</v>
      </c>
    </row>
    <row r="67" spans="1:14" x14ac:dyDescent="0.2">
      <c r="A67" t="str">
        <f t="shared" ref="A67:A130" si="1">"2023-"&amp;B67&amp;"-16S"</f>
        <v>2023-1-PMB-LI-LE-3-16S</v>
      </c>
      <c r="B67" t="s">
        <v>685</v>
      </c>
      <c r="C67" s="74" t="s">
        <v>245</v>
      </c>
      <c r="D67" s="88">
        <v>45061</v>
      </c>
      <c r="E67" t="s">
        <v>962</v>
      </c>
      <c r="F67" t="s">
        <v>8</v>
      </c>
      <c r="G67" t="s">
        <v>9</v>
      </c>
      <c r="H67" t="s">
        <v>545</v>
      </c>
      <c r="I67" t="s">
        <v>960</v>
      </c>
      <c r="J67" t="s">
        <v>36</v>
      </c>
      <c r="K67" t="s">
        <v>152</v>
      </c>
      <c r="L67">
        <v>3</v>
      </c>
      <c r="M67" t="s">
        <v>958</v>
      </c>
      <c r="N67" t="s">
        <v>1413</v>
      </c>
    </row>
    <row r="68" spans="1:14" x14ac:dyDescent="0.2">
      <c r="A68" t="str">
        <f t="shared" si="1"/>
        <v>2023-1-PMB-EM-FL-1-16S</v>
      </c>
      <c r="B68" t="s">
        <v>636</v>
      </c>
      <c r="C68" s="74" t="s">
        <v>246</v>
      </c>
      <c r="D68" s="88">
        <v>45061</v>
      </c>
      <c r="E68" t="s">
        <v>962</v>
      </c>
      <c r="F68" t="s">
        <v>8</v>
      </c>
      <c r="G68" t="s">
        <v>9</v>
      </c>
      <c r="H68" t="s">
        <v>545</v>
      </c>
      <c r="I68" t="s">
        <v>960</v>
      </c>
      <c r="J68" t="s">
        <v>45</v>
      </c>
      <c r="K68" t="s">
        <v>151</v>
      </c>
      <c r="L68">
        <v>1</v>
      </c>
      <c r="M68" t="s">
        <v>958</v>
      </c>
      <c r="N68" t="s">
        <v>1413</v>
      </c>
    </row>
    <row r="69" spans="1:14" x14ac:dyDescent="0.2">
      <c r="A69" t="str">
        <f t="shared" si="1"/>
        <v>2023-1-PMB-EM-LE-1-16S</v>
      </c>
      <c r="B69" t="s">
        <v>637</v>
      </c>
      <c r="C69" s="74" t="s">
        <v>247</v>
      </c>
      <c r="D69" s="88">
        <v>45061</v>
      </c>
      <c r="E69" t="s">
        <v>962</v>
      </c>
      <c r="F69" t="s">
        <v>8</v>
      </c>
      <c r="G69" t="s">
        <v>9</v>
      </c>
      <c r="H69" t="s">
        <v>545</v>
      </c>
      <c r="I69" t="s">
        <v>960</v>
      </c>
      <c r="J69" t="s">
        <v>45</v>
      </c>
      <c r="K69" t="s">
        <v>152</v>
      </c>
      <c r="L69">
        <v>1</v>
      </c>
      <c r="M69" t="s">
        <v>958</v>
      </c>
      <c r="N69" t="s">
        <v>1413</v>
      </c>
    </row>
    <row r="70" spans="1:14" x14ac:dyDescent="0.2">
      <c r="A70" t="str">
        <f t="shared" si="1"/>
        <v>2023-1-PMB-EM-FL-2-16S</v>
      </c>
      <c r="B70" t="s">
        <v>686</v>
      </c>
      <c r="C70" s="74" t="s">
        <v>248</v>
      </c>
      <c r="D70" s="88">
        <v>45061</v>
      </c>
      <c r="E70" t="s">
        <v>962</v>
      </c>
      <c r="F70" t="s">
        <v>8</v>
      </c>
      <c r="G70" t="s">
        <v>9</v>
      </c>
      <c r="H70" t="s">
        <v>545</v>
      </c>
      <c r="I70" t="s">
        <v>960</v>
      </c>
      <c r="J70" t="s">
        <v>45</v>
      </c>
      <c r="K70" t="s">
        <v>151</v>
      </c>
      <c r="L70">
        <v>2</v>
      </c>
      <c r="M70" t="s">
        <v>958</v>
      </c>
      <c r="N70" t="s">
        <v>1413</v>
      </c>
    </row>
    <row r="71" spans="1:14" x14ac:dyDescent="0.2">
      <c r="A71" t="str">
        <f t="shared" si="1"/>
        <v>2023-1-PMB-EM-LE-2-16S</v>
      </c>
      <c r="B71" t="s">
        <v>687</v>
      </c>
      <c r="C71" s="74" t="s">
        <v>249</v>
      </c>
      <c r="D71" s="88">
        <v>45061</v>
      </c>
      <c r="E71" t="s">
        <v>962</v>
      </c>
      <c r="F71" t="s">
        <v>8</v>
      </c>
      <c r="G71" t="s">
        <v>9</v>
      </c>
      <c r="H71" t="s">
        <v>545</v>
      </c>
      <c r="I71" t="s">
        <v>960</v>
      </c>
      <c r="J71" t="s">
        <v>45</v>
      </c>
      <c r="K71" t="s">
        <v>152</v>
      </c>
      <c r="L71">
        <v>2</v>
      </c>
      <c r="M71" t="s">
        <v>958</v>
      </c>
      <c r="N71" t="s">
        <v>1413</v>
      </c>
    </row>
    <row r="72" spans="1:14" x14ac:dyDescent="0.2">
      <c r="A72" t="str">
        <f t="shared" si="1"/>
        <v>2023-1-PMB-EM-FL-3-16S</v>
      </c>
      <c r="B72" t="s">
        <v>688</v>
      </c>
      <c r="C72" s="74" t="s">
        <v>250</v>
      </c>
      <c r="D72" s="88">
        <v>45061</v>
      </c>
      <c r="E72" t="s">
        <v>962</v>
      </c>
      <c r="F72" t="s">
        <v>8</v>
      </c>
      <c r="G72" t="s">
        <v>9</v>
      </c>
      <c r="H72" t="s">
        <v>545</v>
      </c>
      <c r="I72" t="s">
        <v>960</v>
      </c>
      <c r="J72" t="s">
        <v>45</v>
      </c>
      <c r="K72" t="s">
        <v>151</v>
      </c>
      <c r="L72">
        <v>3</v>
      </c>
      <c r="M72" t="s">
        <v>958</v>
      </c>
      <c r="N72" t="s">
        <v>1413</v>
      </c>
    </row>
    <row r="73" spans="1:14" x14ac:dyDescent="0.2">
      <c r="A73" t="str">
        <f t="shared" si="1"/>
        <v>2023-1-PMB-EM-LE-3-16S</v>
      </c>
      <c r="B73" t="s">
        <v>689</v>
      </c>
      <c r="C73" s="74" t="s">
        <v>251</v>
      </c>
      <c r="D73" s="88">
        <v>45061</v>
      </c>
      <c r="E73" t="s">
        <v>962</v>
      </c>
      <c r="F73" t="s">
        <v>8</v>
      </c>
      <c r="G73" t="s">
        <v>9</v>
      </c>
      <c r="H73" t="s">
        <v>545</v>
      </c>
      <c r="I73" t="s">
        <v>960</v>
      </c>
      <c r="J73" t="s">
        <v>45</v>
      </c>
      <c r="K73" t="s">
        <v>152</v>
      </c>
      <c r="L73">
        <v>3</v>
      </c>
      <c r="M73" t="s">
        <v>958</v>
      </c>
      <c r="N73" t="s">
        <v>1413</v>
      </c>
    </row>
    <row r="74" spans="1:14" x14ac:dyDescent="0.2">
      <c r="A74" t="str">
        <f t="shared" si="1"/>
        <v>2023-1-PMB-SR-FL-1-16S</v>
      </c>
      <c r="B74" t="s">
        <v>692</v>
      </c>
      <c r="C74" s="74" t="s">
        <v>252</v>
      </c>
      <c r="D74" s="88">
        <v>45061</v>
      </c>
      <c r="E74" t="s">
        <v>962</v>
      </c>
      <c r="F74" t="s">
        <v>8</v>
      </c>
      <c r="G74" t="s">
        <v>9</v>
      </c>
      <c r="H74" t="s">
        <v>545</v>
      </c>
      <c r="I74" t="s">
        <v>960</v>
      </c>
      <c r="J74" t="s">
        <v>62</v>
      </c>
      <c r="K74" t="s">
        <v>151</v>
      </c>
      <c r="L74">
        <v>1</v>
      </c>
      <c r="M74" t="s">
        <v>957</v>
      </c>
      <c r="N74" t="s">
        <v>1413</v>
      </c>
    </row>
    <row r="75" spans="1:14" x14ac:dyDescent="0.2">
      <c r="A75" t="str">
        <f t="shared" si="1"/>
        <v>2023-1-PMB-SR-LE-1-16S</v>
      </c>
      <c r="B75" t="s">
        <v>693</v>
      </c>
      <c r="C75" s="74" t="s">
        <v>253</v>
      </c>
      <c r="D75" s="88">
        <v>45061</v>
      </c>
      <c r="E75" t="s">
        <v>962</v>
      </c>
      <c r="F75" t="s">
        <v>8</v>
      </c>
      <c r="G75" t="s">
        <v>9</v>
      </c>
      <c r="H75" t="s">
        <v>545</v>
      </c>
      <c r="I75" t="s">
        <v>960</v>
      </c>
      <c r="J75" t="s">
        <v>62</v>
      </c>
      <c r="K75" t="s">
        <v>152</v>
      </c>
      <c r="L75">
        <v>1</v>
      </c>
      <c r="M75" t="s">
        <v>957</v>
      </c>
      <c r="N75" t="s">
        <v>1413</v>
      </c>
    </row>
    <row r="76" spans="1:14" x14ac:dyDescent="0.2">
      <c r="A76" t="str">
        <f t="shared" si="1"/>
        <v>2023-1-PMB-SR-FL-2-16S</v>
      </c>
      <c r="B76" t="s">
        <v>700</v>
      </c>
      <c r="C76" s="74" t="s">
        <v>254</v>
      </c>
      <c r="D76" s="88">
        <v>45061</v>
      </c>
      <c r="E76" t="s">
        <v>962</v>
      </c>
      <c r="F76" t="s">
        <v>8</v>
      </c>
      <c r="G76" t="s">
        <v>9</v>
      </c>
      <c r="H76" t="s">
        <v>545</v>
      </c>
      <c r="I76" t="s">
        <v>960</v>
      </c>
      <c r="J76" t="s">
        <v>62</v>
      </c>
      <c r="K76" t="s">
        <v>151</v>
      </c>
      <c r="L76">
        <v>2</v>
      </c>
      <c r="M76" t="s">
        <v>957</v>
      </c>
      <c r="N76" t="s">
        <v>1413</v>
      </c>
    </row>
    <row r="77" spans="1:14" x14ac:dyDescent="0.2">
      <c r="A77" t="str">
        <f t="shared" si="1"/>
        <v>2023-1-PMB-SR-LE-2-16S</v>
      </c>
      <c r="B77" t="s">
        <v>701</v>
      </c>
      <c r="C77" s="74" t="s">
        <v>255</v>
      </c>
      <c r="D77" s="88">
        <v>45061</v>
      </c>
      <c r="E77" t="s">
        <v>962</v>
      </c>
      <c r="F77" t="s">
        <v>8</v>
      </c>
      <c r="G77" t="s">
        <v>9</v>
      </c>
      <c r="H77" t="s">
        <v>545</v>
      </c>
      <c r="I77" t="s">
        <v>960</v>
      </c>
      <c r="J77" t="s">
        <v>62</v>
      </c>
      <c r="K77" t="s">
        <v>152</v>
      </c>
      <c r="L77">
        <v>2</v>
      </c>
      <c r="M77" t="s">
        <v>957</v>
      </c>
      <c r="N77" t="s">
        <v>1413</v>
      </c>
    </row>
    <row r="78" spans="1:14" x14ac:dyDescent="0.2">
      <c r="A78" t="str">
        <f t="shared" si="1"/>
        <v>2023-1-PMB-SR-FL-3-16S</v>
      </c>
      <c r="B78" t="s">
        <v>702</v>
      </c>
      <c r="C78" s="74" t="s">
        <v>256</v>
      </c>
      <c r="D78" s="88">
        <v>45061</v>
      </c>
      <c r="E78" t="s">
        <v>962</v>
      </c>
      <c r="F78" t="s">
        <v>8</v>
      </c>
      <c r="G78" t="s">
        <v>9</v>
      </c>
      <c r="H78" t="s">
        <v>545</v>
      </c>
      <c r="I78" t="s">
        <v>960</v>
      </c>
      <c r="J78" t="s">
        <v>62</v>
      </c>
      <c r="K78" t="s">
        <v>151</v>
      </c>
      <c r="L78">
        <v>3</v>
      </c>
      <c r="M78" t="s">
        <v>957</v>
      </c>
      <c r="N78" t="s">
        <v>1413</v>
      </c>
    </row>
    <row r="79" spans="1:14" x14ac:dyDescent="0.2">
      <c r="A79" t="str">
        <f t="shared" si="1"/>
        <v>2023-1-PMB-SR-LE-3-16S</v>
      </c>
      <c r="B79" t="s">
        <v>703</v>
      </c>
      <c r="C79" s="74" t="s">
        <v>257</v>
      </c>
      <c r="D79" s="88">
        <v>45061</v>
      </c>
      <c r="E79" t="s">
        <v>962</v>
      </c>
      <c r="F79" t="s">
        <v>8</v>
      </c>
      <c r="G79" t="s">
        <v>9</v>
      </c>
      <c r="H79" t="s">
        <v>545</v>
      </c>
      <c r="I79" t="s">
        <v>960</v>
      </c>
      <c r="J79" t="s">
        <v>62</v>
      </c>
      <c r="K79" t="s">
        <v>152</v>
      </c>
      <c r="L79">
        <v>3</v>
      </c>
      <c r="M79" t="s">
        <v>957</v>
      </c>
      <c r="N79" t="s">
        <v>1413</v>
      </c>
    </row>
    <row r="80" spans="1:14" x14ac:dyDescent="0.2">
      <c r="A80" t="str">
        <f t="shared" si="1"/>
        <v>2023-1-COM-HC-LE-1-16S</v>
      </c>
      <c r="B80" t="s">
        <v>704</v>
      </c>
      <c r="C80" s="74" t="s">
        <v>258</v>
      </c>
      <c r="D80" s="88">
        <v>45061</v>
      </c>
      <c r="E80" t="s">
        <v>962</v>
      </c>
      <c r="F80" t="s">
        <v>90</v>
      </c>
      <c r="G80" t="s">
        <v>96</v>
      </c>
      <c r="H80" t="s">
        <v>546</v>
      </c>
      <c r="I80" t="s">
        <v>961</v>
      </c>
      <c r="J80" t="s">
        <v>51</v>
      </c>
      <c r="K80" t="s">
        <v>152</v>
      </c>
      <c r="L80">
        <v>1</v>
      </c>
      <c r="M80" t="s">
        <v>957</v>
      </c>
      <c r="N80" t="s">
        <v>1413</v>
      </c>
    </row>
    <row r="81" spans="1:14" x14ac:dyDescent="0.2">
      <c r="A81" t="str">
        <f t="shared" si="1"/>
        <v>2023-1-COM-HC-LE-2-16S</v>
      </c>
      <c r="B81" t="s">
        <v>707</v>
      </c>
      <c r="C81" s="74" t="s">
        <v>259</v>
      </c>
      <c r="D81" s="88">
        <v>45061</v>
      </c>
      <c r="E81" t="s">
        <v>962</v>
      </c>
      <c r="F81" t="s">
        <v>90</v>
      </c>
      <c r="G81" t="s">
        <v>96</v>
      </c>
      <c r="H81" t="s">
        <v>546</v>
      </c>
      <c r="I81" t="s">
        <v>961</v>
      </c>
      <c r="J81" t="s">
        <v>51</v>
      </c>
      <c r="K81" t="s">
        <v>152</v>
      </c>
      <c r="L81">
        <v>2</v>
      </c>
      <c r="M81" t="s">
        <v>957</v>
      </c>
      <c r="N81" t="s">
        <v>1413</v>
      </c>
    </row>
    <row r="82" spans="1:14" x14ac:dyDescent="0.2">
      <c r="A82" t="str">
        <f t="shared" si="1"/>
        <v>2023-1-COM-HC-LE-3-16S</v>
      </c>
      <c r="B82" t="s">
        <v>708</v>
      </c>
      <c r="C82" s="74" t="s">
        <v>260</v>
      </c>
      <c r="D82" s="88">
        <v>45061</v>
      </c>
      <c r="E82" t="s">
        <v>962</v>
      </c>
      <c r="F82" t="s">
        <v>90</v>
      </c>
      <c r="G82" t="s">
        <v>96</v>
      </c>
      <c r="H82" t="s">
        <v>546</v>
      </c>
      <c r="I82" t="s">
        <v>961</v>
      </c>
      <c r="J82" t="s">
        <v>51</v>
      </c>
      <c r="K82" t="s">
        <v>152</v>
      </c>
      <c r="L82">
        <v>3</v>
      </c>
      <c r="M82" t="s">
        <v>957</v>
      </c>
      <c r="N82" t="s">
        <v>1413</v>
      </c>
    </row>
    <row r="83" spans="1:14" x14ac:dyDescent="0.2">
      <c r="A83" t="str">
        <f t="shared" si="1"/>
        <v>2023-1-COM-SP-FL-1-16S</v>
      </c>
      <c r="B83" t="s">
        <v>640</v>
      </c>
      <c r="C83" s="74" t="s">
        <v>261</v>
      </c>
      <c r="D83" s="88">
        <v>45061</v>
      </c>
      <c r="E83" t="s">
        <v>962</v>
      </c>
      <c r="F83" t="s">
        <v>90</v>
      </c>
      <c r="G83" t="s">
        <v>96</v>
      </c>
      <c r="H83" t="s">
        <v>546</v>
      </c>
      <c r="I83" t="s">
        <v>961</v>
      </c>
      <c r="J83" t="s">
        <v>60</v>
      </c>
      <c r="K83" t="s">
        <v>151</v>
      </c>
      <c r="L83">
        <v>1</v>
      </c>
      <c r="M83" t="s">
        <v>957</v>
      </c>
      <c r="N83" t="s">
        <v>1413</v>
      </c>
    </row>
    <row r="84" spans="1:14" x14ac:dyDescent="0.2">
      <c r="A84" t="str">
        <f t="shared" si="1"/>
        <v>2023-1-COM-SP-LE-1-16S</v>
      </c>
      <c r="B84" t="s">
        <v>641</v>
      </c>
      <c r="C84" s="74" t="s">
        <v>262</v>
      </c>
      <c r="D84" s="88">
        <v>45061</v>
      </c>
      <c r="E84" t="s">
        <v>962</v>
      </c>
      <c r="F84" t="s">
        <v>90</v>
      </c>
      <c r="G84" t="s">
        <v>96</v>
      </c>
      <c r="H84" t="s">
        <v>546</v>
      </c>
      <c r="I84" t="s">
        <v>961</v>
      </c>
      <c r="J84" t="s">
        <v>60</v>
      </c>
      <c r="K84" t="s">
        <v>152</v>
      </c>
      <c r="L84">
        <v>1</v>
      </c>
      <c r="M84" t="s">
        <v>957</v>
      </c>
      <c r="N84" t="s">
        <v>1413</v>
      </c>
    </row>
    <row r="85" spans="1:14" x14ac:dyDescent="0.2">
      <c r="A85" t="str">
        <f t="shared" si="1"/>
        <v>2023-1-COM-SP-FL-2-16S</v>
      </c>
      <c r="B85" t="s">
        <v>709</v>
      </c>
      <c r="C85" s="74" t="s">
        <v>263</v>
      </c>
      <c r="D85" s="88">
        <v>45061</v>
      </c>
      <c r="E85" t="s">
        <v>962</v>
      </c>
      <c r="F85" t="s">
        <v>90</v>
      </c>
      <c r="G85" t="s">
        <v>96</v>
      </c>
      <c r="H85" t="s">
        <v>546</v>
      </c>
      <c r="I85" t="s">
        <v>961</v>
      </c>
      <c r="J85" t="s">
        <v>60</v>
      </c>
      <c r="K85" t="s">
        <v>151</v>
      </c>
      <c r="L85">
        <v>2</v>
      </c>
      <c r="M85" t="s">
        <v>957</v>
      </c>
      <c r="N85" t="s">
        <v>1413</v>
      </c>
    </row>
    <row r="86" spans="1:14" x14ac:dyDescent="0.2">
      <c r="A86" t="str">
        <f t="shared" si="1"/>
        <v>2023-1-COM-SP-LE-2-16S</v>
      </c>
      <c r="B86" t="s">
        <v>710</v>
      </c>
      <c r="C86" s="74" t="s">
        <v>264</v>
      </c>
      <c r="D86" s="88">
        <v>45061</v>
      </c>
      <c r="E86" t="s">
        <v>962</v>
      </c>
      <c r="F86" t="s">
        <v>90</v>
      </c>
      <c r="G86" t="s">
        <v>96</v>
      </c>
      <c r="H86" t="s">
        <v>546</v>
      </c>
      <c r="I86" t="s">
        <v>961</v>
      </c>
      <c r="J86" t="s">
        <v>60</v>
      </c>
      <c r="K86" t="s">
        <v>152</v>
      </c>
      <c r="L86">
        <v>2</v>
      </c>
      <c r="M86" t="s">
        <v>957</v>
      </c>
      <c r="N86" t="s">
        <v>1413</v>
      </c>
    </row>
    <row r="87" spans="1:14" x14ac:dyDescent="0.2">
      <c r="A87" t="str">
        <f t="shared" si="1"/>
        <v>2023-1-COM-SP-FL-3-16S</v>
      </c>
      <c r="B87" t="s">
        <v>711</v>
      </c>
      <c r="C87" s="74" t="s">
        <v>265</v>
      </c>
      <c r="D87" s="88">
        <v>45061</v>
      </c>
      <c r="E87" t="s">
        <v>962</v>
      </c>
      <c r="F87" t="s">
        <v>90</v>
      </c>
      <c r="G87" t="s">
        <v>96</v>
      </c>
      <c r="H87" t="s">
        <v>546</v>
      </c>
      <c r="I87" t="s">
        <v>961</v>
      </c>
      <c r="J87" t="s">
        <v>60</v>
      </c>
      <c r="K87" t="s">
        <v>151</v>
      </c>
      <c r="L87">
        <v>3</v>
      </c>
      <c r="M87" t="s">
        <v>957</v>
      </c>
      <c r="N87" t="s">
        <v>1413</v>
      </c>
    </row>
    <row r="88" spans="1:14" x14ac:dyDescent="0.2">
      <c r="A88" t="str">
        <f t="shared" si="1"/>
        <v>2023-1-COM-SP-LE-3-16S</v>
      </c>
      <c r="B88" t="s">
        <v>712</v>
      </c>
      <c r="C88" s="74" t="s">
        <v>266</v>
      </c>
      <c r="D88" s="88">
        <v>45061</v>
      </c>
      <c r="E88" t="s">
        <v>962</v>
      </c>
      <c r="F88" t="s">
        <v>90</v>
      </c>
      <c r="G88" t="s">
        <v>96</v>
      </c>
      <c r="H88" t="s">
        <v>546</v>
      </c>
      <c r="I88" t="s">
        <v>961</v>
      </c>
      <c r="J88" t="s">
        <v>60</v>
      </c>
      <c r="K88" t="s">
        <v>152</v>
      </c>
      <c r="L88">
        <v>3</v>
      </c>
      <c r="M88" t="s">
        <v>957</v>
      </c>
      <c r="N88" t="s">
        <v>1413</v>
      </c>
    </row>
    <row r="89" spans="1:14" x14ac:dyDescent="0.2">
      <c r="A89" t="str">
        <f t="shared" si="1"/>
        <v>2023-1-COM-EM-FL-1-16S</v>
      </c>
      <c r="B89" t="s">
        <v>644</v>
      </c>
      <c r="C89" s="74" t="s">
        <v>267</v>
      </c>
      <c r="D89" s="88">
        <v>45061</v>
      </c>
      <c r="E89" t="s">
        <v>962</v>
      </c>
      <c r="F89" t="s">
        <v>90</v>
      </c>
      <c r="G89" t="s">
        <v>96</v>
      </c>
      <c r="H89" t="s">
        <v>546</v>
      </c>
      <c r="I89" t="s">
        <v>961</v>
      </c>
      <c r="J89" t="s">
        <v>45</v>
      </c>
      <c r="K89" t="s">
        <v>151</v>
      </c>
      <c r="L89">
        <v>1</v>
      </c>
      <c r="M89" t="s">
        <v>958</v>
      </c>
      <c r="N89" t="s">
        <v>1413</v>
      </c>
    </row>
    <row r="90" spans="1:14" x14ac:dyDescent="0.2">
      <c r="A90" t="str">
        <f t="shared" si="1"/>
        <v>2023-1-COM-EM-LE-1-16S</v>
      </c>
      <c r="B90" t="s">
        <v>645</v>
      </c>
      <c r="C90" s="74" t="s">
        <v>268</v>
      </c>
      <c r="D90" s="88">
        <v>45061</v>
      </c>
      <c r="E90" t="s">
        <v>962</v>
      </c>
      <c r="F90" t="s">
        <v>90</v>
      </c>
      <c r="G90" t="s">
        <v>96</v>
      </c>
      <c r="H90" t="s">
        <v>546</v>
      </c>
      <c r="I90" t="s">
        <v>961</v>
      </c>
      <c r="J90" t="s">
        <v>45</v>
      </c>
      <c r="K90" t="s">
        <v>152</v>
      </c>
      <c r="L90">
        <v>1</v>
      </c>
      <c r="M90" t="s">
        <v>958</v>
      </c>
      <c r="N90" t="s">
        <v>1413</v>
      </c>
    </row>
    <row r="91" spans="1:14" x14ac:dyDescent="0.2">
      <c r="A91" t="str">
        <f t="shared" si="1"/>
        <v>2023-1-COM-EM-FL-2-16S</v>
      </c>
      <c r="B91" t="s">
        <v>713</v>
      </c>
      <c r="C91" s="74" t="s">
        <v>269</v>
      </c>
      <c r="D91" s="88">
        <v>45061</v>
      </c>
      <c r="E91" t="s">
        <v>962</v>
      </c>
      <c r="F91" t="s">
        <v>90</v>
      </c>
      <c r="G91" t="s">
        <v>96</v>
      </c>
      <c r="H91" t="s">
        <v>546</v>
      </c>
      <c r="I91" t="s">
        <v>961</v>
      </c>
      <c r="J91" t="s">
        <v>45</v>
      </c>
      <c r="K91" t="s">
        <v>151</v>
      </c>
      <c r="L91">
        <v>2</v>
      </c>
      <c r="M91" t="s">
        <v>958</v>
      </c>
      <c r="N91" t="s">
        <v>1413</v>
      </c>
    </row>
    <row r="92" spans="1:14" x14ac:dyDescent="0.2">
      <c r="A92" t="str">
        <f t="shared" si="1"/>
        <v>2023-1-COM-EM-LE-2-16S</v>
      </c>
      <c r="B92" t="s">
        <v>714</v>
      </c>
      <c r="C92" s="74" t="s">
        <v>270</v>
      </c>
      <c r="D92" s="88">
        <v>45061</v>
      </c>
      <c r="E92" t="s">
        <v>962</v>
      </c>
      <c r="F92" t="s">
        <v>90</v>
      </c>
      <c r="G92" t="s">
        <v>96</v>
      </c>
      <c r="H92" t="s">
        <v>546</v>
      </c>
      <c r="I92" t="s">
        <v>961</v>
      </c>
      <c r="J92" t="s">
        <v>45</v>
      </c>
      <c r="K92" t="s">
        <v>152</v>
      </c>
      <c r="L92">
        <v>2</v>
      </c>
      <c r="M92" t="s">
        <v>958</v>
      </c>
      <c r="N92" t="s">
        <v>1413</v>
      </c>
    </row>
    <row r="93" spans="1:14" x14ac:dyDescent="0.2">
      <c r="A93" t="str">
        <f t="shared" si="1"/>
        <v>2023-1-COM-EM-FL-3-16S</v>
      </c>
      <c r="B93" t="s">
        <v>715</v>
      </c>
      <c r="C93" s="74" t="s">
        <v>271</v>
      </c>
      <c r="D93" s="88">
        <v>45061</v>
      </c>
      <c r="E93" t="s">
        <v>962</v>
      </c>
      <c r="F93" t="s">
        <v>90</v>
      </c>
      <c r="G93" t="s">
        <v>96</v>
      </c>
      <c r="H93" t="s">
        <v>546</v>
      </c>
      <c r="I93" t="s">
        <v>961</v>
      </c>
      <c r="J93" t="s">
        <v>45</v>
      </c>
      <c r="K93" t="s">
        <v>151</v>
      </c>
      <c r="L93">
        <v>3</v>
      </c>
      <c r="M93" t="s">
        <v>958</v>
      </c>
      <c r="N93" t="s">
        <v>1413</v>
      </c>
    </row>
    <row r="94" spans="1:14" x14ac:dyDescent="0.2">
      <c r="A94" t="str">
        <f t="shared" si="1"/>
        <v>2023-1-COM-EM-LE-3-16S</v>
      </c>
      <c r="B94" t="s">
        <v>716</v>
      </c>
      <c r="C94" s="74" t="s">
        <v>272</v>
      </c>
      <c r="D94" s="88">
        <v>45061</v>
      </c>
      <c r="E94" t="s">
        <v>962</v>
      </c>
      <c r="F94" t="s">
        <v>90</v>
      </c>
      <c r="G94" t="s">
        <v>96</v>
      </c>
      <c r="H94" t="s">
        <v>546</v>
      </c>
      <c r="I94" t="s">
        <v>961</v>
      </c>
      <c r="J94" t="s">
        <v>45</v>
      </c>
      <c r="K94" t="s">
        <v>152</v>
      </c>
      <c r="L94">
        <v>3</v>
      </c>
      <c r="M94" t="s">
        <v>958</v>
      </c>
      <c r="N94" t="s">
        <v>1413</v>
      </c>
    </row>
    <row r="95" spans="1:14" x14ac:dyDescent="0.2">
      <c r="A95" t="str">
        <f t="shared" si="1"/>
        <v>2023-1-COM-SR-FL-1-16S</v>
      </c>
      <c r="B95" t="s">
        <v>696</v>
      </c>
      <c r="C95" s="74" t="s">
        <v>273</v>
      </c>
      <c r="D95" s="88">
        <v>45061</v>
      </c>
      <c r="E95" t="s">
        <v>962</v>
      </c>
      <c r="F95" t="s">
        <v>90</v>
      </c>
      <c r="G95" t="s">
        <v>96</v>
      </c>
      <c r="H95" t="s">
        <v>546</v>
      </c>
      <c r="I95" t="s">
        <v>961</v>
      </c>
      <c r="J95" t="s">
        <v>62</v>
      </c>
      <c r="K95" t="s">
        <v>151</v>
      </c>
      <c r="L95">
        <v>1</v>
      </c>
      <c r="M95" t="s">
        <v>957</v>
      </c>
      <c r="N95" t="s">
        <v>1413</v>
      </c>
    </row>
    <row r="96" spans="1:14" x14ac:dyDescent="0.2">
      <c r="A96" t="str">
        <f t="shared" si="1"/>
        <v>2023-1-COM-SR-LE-1-16S</v>
      </c>
      <c r="B96" t="s">
        <v>697</v>
      </c>
      <c r="C96" s="74" t="s">
        <v>274</v>
      </c>
      <c r="D96" s="88">
        <v>45061</v>
      </c>
      <c r="E96" t="s">
        <v>962</v>
      </c>
      <c r="F96" t="s">
        <v>90</v>
      </c>
      <c r="G96" t="s">
        <v>96</v>
      </c>
      <c r="H96" t="s">
        <v>546</v>
      </c>
      <c r="I96" t="s">
        <v>961</v>
      </c>
      <c r="J96" t="s">
        <v>62</v>
      </c>
      <c r="K96" t="s">
        <v>152</v>
      </c>
      <c r="L96">
        <v>1</v>
      </c>
      <c r="M96" t="s">
        <v>957</v>
      </c>
      <c r="N96" t="s">
        <v>1413</v>
      </c>
    </row>
    <row r="97" spans="1:14" x14ac:dyDescent="0.2">
      <c r="A97" t="str">
        <f t="shared" si="1"/>
        <v>2023-1-COM-SR-FL-2-16S</v>
      </c>
      <c r="B97" t="s">
        <v>717</v>
      </c>
      <c r="C97" s="74" t="s">
        <v>275</v>
      </c>
      <c r="D97" s="88">
        <v>45061</v>
      </c>
      <c r="E97" t="s">
        <v>962</v>
      </c>
      <c r="F97" t="s">
        <v>90</v>
      </c>
      <c r="G97" t="s">
        <v>96</v>
      </c>
      <c r="H97" t="s">
        <v>546</v>
      </c>
      <c r="I97" t="s">
        <v>961</v>
      </c>
      <c r="J97" t="s">
        <v>62</v>
      </c>
      <c r="K97" t="s">
        <v>151</v>
      </c>
      <c r="L97">
        <v>2</v>
      </c>
      <c r="M97" t="s">
        <v>957</v>
      </c>
      <c r="N97" t="s">
        <v>1413</v>
      </c>
    </row>
    <row r="98" spans="1:14" x14ac:dyDescent="0.2">
      <c r="A98" t="str">
        <f t="shared" si="1"/>
        <v>2023-1-COM-SR-LE-2-16S</v>
      </c>
      <c r="B98" t="s">
        <v>718</v>
      </c>
      <c r="C98" s="74" t="s">
        <v>276</v>
      </c>
      <c r="D98" s="88">
        <v>45061</v>
      </c>
      <c r="E98" t="s">
        <v>962</v>
      </c>
      <c r="F98" t="s">
        <v>90</v>
      </c>
      <c r="G98" t="s">
        <v>96</v>
      </c>
      <c r="H98" t="s">
        <v>546</v>
      </c>
      <c r="I98" t="s">
        <v>961</v>
      </c>
      <c r="J98" t="s">
        <v>62</v>
      </c>
      <c r="K98" t="s">
        <v>152</v>
      </c>
      <c r="L98">
        <v>2</v>
      </c>
      <c r="M98" t="s">
        <v>957</v>
      </c>
      <c r="N98" t="s">
        <v>1413</v>
      </c>
    </row>
    <row r="99" spans="1:14" x14ac:dyDescent="0.2">
      <c r="A99" t="str">
        <f t="shared" si="1"/>
        <v>2023-1-COM-SR-FL-3-16S</v>
      </c>
      <c r="B99" t="s">
        <v>719</v>
      </c>
      <c r="C99" s="74" t="s">
        <v>277</v>
      </c>
      <c r="D99" s="88">
        <v>45061</v>
      </c>
      <c r="E99" t="s">
        <v>962</v>
      </c>
      <c r="F99" t="s">
        <v>90</v>
      </c>
      <c r="G99" t="s">
        <v>96</v>
      </c>
      <c r="H99" t="s">
        <v>546</v>
      </c>
      <c r="I99" t="s">
        <v>961</v>
      </c>
      <c r="J99" t="s">
        <v>62</v>
      </c>
      <c r="K99" t="s">
        <v>151</v>
      </c>
      <c r="L99">
        <v>3</v>
      </c>
      <c r="M99" t="s">
        <v>957</v>
      </c>
      <c r="N99" t="s">
        <v>1413</v>
      </c>
    </row>
    <row r="100" spans="1:14" x14ac:dyDescent="0.2">
      <c r="A100" t="str">
        <f t="shared" si="1"/>
        <v>2023-1-COM-SR-LE-3-16S</v>
      </c>
      <c r="B100" t="s">
        <v>720</v>
      </c>
      <c r="C100" s="74" t="s">
        <v>278</v>
      </c>
      <c r="D100" s="88">
        <v>45061</v>
      </c>
      <c r="E100" t="s">
        <v>962</v>
      </c>
      <c r="F100" t="s">
        <v>90</v>
      </c>
      <c r="G100" t="s">
        <v>96</v>
      </c>
      <c r="H100" t="s">
        <v>546</v>
      </c>
      <c r="I100" t="s">
        <v>961</v>
      </c>
      <c r="J100" t="s">
        <v>62</v>
      </c>
      <c r="K100" t="s">
        <v>152</v>
      </c>
      <c r="L100">
        <v>3</v>
      </c>
      <c r="M100" t="s">
        <v>957</v>
      </c>
      <c r="N100" t="s">
        <v>1413</v>
      </c>
    </row>
    <row r="101" spans="1:14" x14ac:dyDescent="0.2">
      <c r="A101" t="str">
        <f t="shared" si="1"/>
        <v>2023-1-VBS-CL-FL-1-16S</v>
      </c>
      <c r="B101" t="s">
        <v>721</v>
      </c>
      <c r="C101" s="74" t="s">
        <v>279</v>
      </c>
      <c r="D101" s="88">
        <v>45069</v>
      </c>
      <c r="E101" t="s">
        <v>962</v>
      </c>
      <c r="F101" t="s">
        <v>549</v>
      </c>
      <c r="G101" t="s">
        <v>22</v>
      </c>
      <c r="H101" t="s">
        <v>547</v>
      </c>
      <c r="I101" t="s">
        <v>961</v>
      </c>
      <c r="J101" t="s">
        <v>43</v>
      </c>
      <c r="K101" t="s">
        <v>151</v>
      </c>
      <c r="L101">
        <v>1</v>
      </c>
      <c r="M101" t="s">
        <v>956</v>
      </c>
      <c r="N101" t="s">
        <v>1413</v>
      </c>
    </row>
    <row r="102" spans="1:14" x14ac:dyDescent="0.2">
      <c r="A102" t="str">
        <f t="shared" si="1"/>
        <v>2023-1-VBS-CL-LE-1-16S</v>
      </c>
      <c r="B102" t="s">
        <v>722</v>
      </c>
      <c r="C102" s="74" t="s">
        <v>280</v>
      </c>
      <c r="D102" s="88">
        <v>45069</v>
      </c>
      <c r="E102" t="s">
        <v>962</v>
      </c>
      <c r="F102" t="s">
        <v>549</v>
      </c>
      <c r="G102" t="s">
        <v>22</v>
      </c>
      <c r="H102" t="s">
        <v>547</v>
      </c>
      <c r="I102" t="s">
        <v>961</v>
      </c>
      <c r="J102" t="s">
        <v>43</v>
      </c>
      <c r="K102" t="s">
        <v>152</v>
      </c>
      <c r="L102">
        <v>1</v>
      </c>
      <c r="M102" t="s">
        <v>956</v>
      </c>
      <c r="N102" t="s">
        <v>1413</v>
      </c>
    </row>
    <row r="103" spans="1:14" x14ac:dyDescent="0.2">
      <c r="A103" t="str">
        <f t="shared" si="1"/>
        <v>2023-1-VBS-CL-FL-2-16S</v>
      </c>
      <c r="B103" t="s">
        <v>725</v>
      </c>
      <c r="C103" s="74" t="s">
        <v>281</v>
      </c>
      <c r="D103" s="88">
        <v>45069</v>
      </c>
      <c r="E103" t="s">
        <v>962</v>
      </c>
      <c r="F103" t="s">
        <v>549</v>
      </c>
      <c r="G103" t="s">
        <v>22</v>
      </c>
      <c r="H103" t="s">
        <v>547</v>
      </c>
      <c r="I103" t="s">
        <v>961</v>
      </c>
      <c r="J103" t="s">
        <v>43</v>
      </c>
      <c r="K103" t="s">
        <v>151</v>
      </c>
      <c r="L103">
        <v>2</v>
      </c>
      <c r="M103" t="s">
        <v>956</v>
      </c>
      <c r="N103" t="s">
        <v>1413</v>
      </c>
    </row>
    <row r="104" spans="1:14" x14ac:dyDescent="0.2">
      <c r="A104" t="str">
        <f t="shared" si="1"/>
        <v>2023-1-VBS-CL-LE-2-16S</v>
      </c>
      <c r="B104" t="s">
        <v>726</v>
      </c>
      <c r="C104" s="74" t="s">
        <v>282</v>
      </c>
      <c r="D104" s="88">
        <v>45069</v>
      </c>
      <c r="E104" t="s">
        <v>962</v>
      </c>
      <c r="F104" t="s">
        <v>549</v>
      </c>
      <c r="G104" t="s">
        <v>22</v>
      </c>
      <c r="H104" t="s">
        <v>547</v>
      </c>
      <c r="I104" t="s">
        <v>961</v>
      </c>
      <c r="J104" t="s">
        <v>43</v>
      </c>
      <c r="K104" t="s">
        <v>152</v>
      </c>
      <c r="L104">
        <v>2</v>
      </c>
      <c r="M104" t="s">
        <v>956</v>
      </c>
      <c r="N104" t="s">
        <v>1413</v>
      </c>
    </row>
    <row r="105" spans="1:14" x14ac:dyDescent="0.2">
      <c r="A105" t="str">
        <f t="shared" si="1"/>
        <v>2023-1-VBS-CL-FL-3-16S</v>
      </c>
      <c r="B105" t="s">
        <v>727</v>
      </c>
      <c r="C105" s="74" t="s">
        <v>283</v>
      </c>
      <c r="D105" s="88">
        <v>45069</v>
      </c>
      <c r="E105" t="s">
        <v>962</v>
      </c>
      <c r="F105" t="s">
        <v>549</v>
      </c>
      <c r="G105" t="s">
        <v>22</v>
      </c>
      <c r="H105" t="s">
        <v>547</v>
      </c>
      <c r="I105" t="s">
        <v>961</v>
      </c>
      <c r="J105" t="s">
        <v>43</v>
      </c>
      <c r="K105" t="s">
        <v>151</v>
      </c>
      <c r="L105">
        <v>3</v>
      </c>
      <c r="M105" t="s">
        <v>956</v>
      </c>
      <c r="N105" t="s">
        <v>1413</v>
      </c>
    </row>
    <row r="106" spans="1:14" x14ac:dyDescent="0.2">
      <c r="A106" t="str">
        <f t="shared" si="1"/>
        <v>2023-1-VBS-CL-LE-3-16S</v>
      </c>
      <c r="B106" t="s">
        <v>728</v>
      </c>
      <c r="C106" s="74" t="s">
        <v>284</v>
      </c>
      <c r="D106" s="88">
        <v>45069</v>
      </c>
      <c r="E106" t="s">
        <v>962</v>
      </c>
      <c r="F106" t="s">
        <v>549</v>
      </c>
      <c r="G106" t="s">
        <v>22</v>
      </c>
      <c r="H106" t="s">
        <v>547</v>
      </c>
      <c r="I106" t="s">
        <v>961</v>
      </c>
      <c r="J106" t="s">
        <v>43</v>
      </c>
      <c r="K106" t="s">
        <v>152</v>
      </c>
      <c r="L106">
        <v>3</v>
      </c>
      <c r="M106" t="s">
        <v>956</v>
      </c>
      <c r="N106" t="s">
        <v>1413</v>
      </c>
    </row>
    <row r="107" spans="1:14" x14ac:dyDescent="0.2">
      <c r="A107" t="str">
        <f t="shared" si="1"/>
        <v>2023-1-VBS-PR-FL-1-16S</v>
      </c>
      <c r="B107" t="s">
        <v>729</v>
      </c>
      <c r="C107" s="74" t="s">
        <v>285</v>
      </c>
      <c r="D107" s="88">
        <v>45069</v>
      </c>
      <c r="E107" t="s">
        <v>962</v>
      </c>
      <c r="F107" t="s">
        <v>549</v>
      </c>
      <c r="G107" t="s">
        <v>22</v>
      </c>
      <c r="H107" t="s">
        <v>547</v>
      </c>
      <c r="I107" t="s">
        <v>961</v>
      </c>
      <c r="J107" t="s">
        <v>74</v>
      </c>
      <c r="K107" t="s">
        <v>151</v>
      </c>
      <c r="L107">
        <v>1</v>
      </c>
      <c r="M107" t="s">
        <v>956</v>
      </c>
      <c r="N107" t="s">
        <v>1413</v>
      </c>
    </row>
    <row r="108" spans="1:14" x14ac:dyDescent="0.2">
      <c r="A108" t="str">
        <f t="shared" si="1"/>
        <v>2023-1-VBS-PR-LE-1-16S</v>
      </c>
      <c r="B108" t="s">
        <v>730</v>
      </c>
      <c r="C108" s="74" t="s">
        <v>286</v>
      </c>
      <c r="D108" s="88">
        <v>45069</v>
      </c>
      <c r="E108" t="s">
        <v>962</v>
      </c>
      <c r="F108" t="s">
        <v>549</v>
      </c>
      <c r="G108" t="s">
        <v>22</v>
      </c>
      <c r="H108" t="s">
        <v>547</v>
      </c>
      <c r="I108" t="s">
        <v>961</v>
      </c>
      <c r="J108" t="s">
        <v>74</v>
      </c>
      <c r="K108" t="s">
        <v>152</v>
      </c>
      <c r="L108">
        <v>1</v>
      </c>
      <c r="M108" t="s">
        <v>956</v>
      </c>
      <c r="N108" t="s">
        <v>1413</v>
      </c>
    </row>
    <row r="109" spans="1:14" x14ac:dyDescent="0.2">
      <c r="A109" t="str">
        <f t="shared" si="1"/>
        <v>2023-1-VBS-PR-FL-2-16S</v>
      </c>
      <c r="B109" t="s">
        <v>733</v>
      </c>
      <c r="C109" s="74" t="s">
        <v>287</v>
      </c>
      <c r="D109" s="88">
        <v>45069</v>
      </c>
      <c r="E109" t="s">
        <v>962</v>
      </c>
      <c r="F109" t="s">
        <v>549</v>
      </c>
      <c r="G109" t="s">
        <v>22</v>
      </c>
      <c r="H109" t="s">
        <v>547</v>
      </c>
      <c r="I109" t="s">
        <v>961</v>
      </c>
      <c r="J109" t="s">
        <v>74</v>
      </c>
      <c r="K109" t="s">
        <v>151</v>
      </c>
      <c r="L109">
        <v>2</v>
      </c>
      <c r="M109" t="s">
        <v>956</v>
      </c>
      <c r="N109" t="s">
        <v>1413</v>
      </c>
    </row>
    <row r="110" spans="1:14" x14ac:dyDescent="0.2">
      <c r="A110" t="str">
        <f t="shared" si="1"/>
        <v>2023-1-VBS-PR-LE-2-16S</v>
      </c>
      <c r="B110" t="s">
        <v>734</v>
      </c>
      <c r="C110" s="74" t="s">
        <v>288</v>
      </c>
      <c r="D110" s="88">
        <v>45069</v>
      </c>
      <c r="E110" t="s">
        <v>962</v>
      </c>
      <c r="F110" t="s">
        <v>549</v>
      </c>
      <c r="G110" t="s">
        <v>22</v>
      </c>
      <c r="H110" t="s">
        <v>547</v>
      </c>
      <c r="I110" t="s">
        <v>961</v>
      </c>
      <c r="J110" t="s">
        <v>74</v>
      </c>
      <c r="K110" t="s">
        <v>152</v>
      </c>
      <c r="L110">
        <v>2</v>
      </c>
      <c r="M110" t="s">
        <v>956</v>
      </c>
      <c r="N110" t="s">
        <v>1413</v>
      </c>
    </row>
    <row r="111" spans="1:14" x14ac:dyDescent="0.2">
      <c r="A111" t="str">
        <f t="shared" si="1"/>
        <v>2023-1-VBS-PR-FL-3-16S</v>
      </c>
      <c r="B111" t="s">
        <v>735</v>
      </c>
      <c r="C111" s="74" t="s">
        <v>289</v>
      </c>
      <c r="D111" s="88">
        <v>45069</v>
      </c>
      <c r="E111" t="s">
        <v>962</v>
      </c>
      <c r="F111" t="s">
        <v>549</v>
      </c>
      <c r="G111" t="s">
        <v>22</v>
      </c>
      <c r="H111" t="s">
        <v>547</v>
      </c>
      <c r="I111" t="s">
        <v>961</v>
      </c>
      <c r="J111" t="s">
        <v>74</v>
      </c>
      <c r="K111" t="s">
        <v>151</v>
      </c>
      <c r="L111">
        <v>3</v>
      </c>
      <c r="M111" t="s">
        <v>956</v>
      </c>
      <c r="N111" t="s">
        <v>1413</v>
      </c>
    </row>
    <row r="112" spans="1:14" x14ac:dyDescent="0.2">
      <c r="A112" t="str">
        <f t="shared" si="1"/>
        <v>2023-1-VBS-PR-LE-3-16S</v>
      </c>
      <c r="B112" t="s">
        <v>736</v>
      </c>
      <c r="C112" s="74" t="s">
        <v>290</v>
      </c>
      <c r="D112" s="88">
        <v>45069</v>
      </c>
      <c r="E112" t="s">
        <v>962</v>
      </c>
      <c r="F112" t="s">
        <v>549</v>
      </c>
      <c r="G112" t="s">
        <v>22</v>
      </c>
      <c r="H112" t="s">
        <v>547</v>
      </c>
      <c r="I112" t="s">
        <v>961</v>
      </c>
      <c r="J112" t="s">
        <v>74</v>
      </c>
      <c r="K112" t="s">
        <v>152</v>
      </c>
      <c r="L112">
        <v>3</v>
      </c>
      <c r="M112" t="s">
        <v>956</v>
      </c>
      <c r="N112" t="s">
        <v>1413</v>
      </c>
    </row>
    <row r="113" spans="1:14" x14ac:dyDescent="0.2">
      <c r="A113" t="str">
        <f t="shared" si="1"/>
        <v>2023-1-VBS-HC-FL-1-16S</v>
      </c>
      <c r="B113" t="s">
        <v>737</v>
      </c>
      <c r="C113" s="74" t="s">
        <v>291</v>
      </c>
      <c r="D113" s="88">
        <v>45069</v>
      </c>
      <c r="E113" t="s">
        <v>962</v>
      </c>
      <c r="F113" t="s">
        <v>549</v>
      </c>
      <c r="G113" t="s">
        <v>22</v>
      </c>
      <c r="H113" t="s">
        <v>547</v>
      </c>
      <c r="I113" t="s">
        <v>961</v>
      </c>
      <c r="J113" t="s">
        <v>51</v>
      </c>
      <c r="K113" t="s">
        <v>151</v>
      </c>
      <c r="L113">
        <v>1</v>
      </c>
      <c r="M113" t="s">
        <v>957</v>
      </c>
      <c r="N113" t="s">
        <v>1413</v>
      </c>
    </row>
    <row r="114" spans="1:14" x14ac:dyDescent="0.2">
      <c r="A114" t="str">
        <f t="shared" si="1"/>
        <v>2023-1-VBS-HC-LE-1-16S</v>
      </c>
      <c r="B114" t="s">
        <v>738</v>
      </c>
      <c r="C114" s="74" t="s">
        <v>292</v>
      </c>
      <c r="D114" s="88">
        <v>45069</v>
      </c>
      <c r="E114" t="s">
        <v>962</v>
      </c>
      <c r="F114" t="s">
        <v>549</v>
      </c>
      <c r="G114" t="s">
        <v>22</v>
      </c>
      <c r="H114" t="s">
        <v>547</v>
      </c>
      <c r="I114" t="s">
        <v>961</v>
      </c>
      <c r="J114" t="s">
        <v>51</v>
      </c>
      <c r="K114" t="s">
        <v>152</v>
      </c>
      <c r="L114">
        <v>1</v>
      </c>
      <c r="M114" t="s">
        <v>957</v>
      </c>
      <c r="N114" t="s">
        <v>1413</v>
      </c>
    </row>
    <row r="115" spans="1:14" x14ac:dyDescent="0.2">
      <c r="A115" t="str">
        <f t="shared" si="1"/>
        <v>2023-1-VBS-HC-FL-2-16S</v>
      </c>
      <c r="B115" t="s">
        <v>741</v>
      </c>
      <c r="C115" s="74" t="s">
        <v>293</v>
      </c>
      <c r="D115" s="88">
        <v>45069</v>
      </c>
      <c r="E115" t="s">
        <v>962</v>
      </c>
      <c r="F115" t="s">
        <v>549</v>
      </c>
      <c r="G115" t="s">
        <v>22</v>
      </c>
      <c r="H115" t="s">
        <v>547</v>
      </c>
      <c r="I115" t="s">
        <v>961</v>
      </c>
      <c r="J115" t="s">
        <v>51</v>
      </c>
      <c r="K115" t="s">
        <v>151</v>
      </c>
      <c r="L115">
        <v>2</v>
      </c>
      <c r="M115" t="s">
        <v>957</v>
      </c>
      <c r="N115" t="s">
        <v>1413</v>
      </c>
    </row>
    <row r="116" spans="1:14" x14ac:dyDescent="0.2">
      <c r="A116" t="str">
        <f t="shared" si="1"/>
        <v>2023-1-VBS-HC-LE-2-16S</v>
      </c>
      <c r="B116" t="s">
        <v>742</v>
      </c>
      <c r="C116" s="74" t="s">
        <v>294</v>
      </c>
      <c r="D116" s="88">
        <v>45069</v>
      </c>
      <c r="E116" t="s">
        <v>962</v>
      </c>
      <c r="F116" t="s">
        <v>549</v>
      </c>
      <c r="G116" t="s">
        <v>22</v>
      </c>
      <c r="H116" t="s">
        <v>547</v>
      </c>
      <c r="I116" t="s">
        <v>961</v>
      </c>
      <c r="J116" t="s">
        <v>51</v>
      </c>
      <c r="K116" t="s">
        <v>152</v>
      </c>
      <c r="L116">
        <v>2</v>
      </c>
      <c r="M116" t="s">
        <v>957</v>
      </c>
      <c r="N116" t="s">
        <v>1413</v>
      </c>
    </row>
    <row r="117" spans="1:14" x14ac:dyDescent="0.2">
      <c r="A117" t="str">
        <f t="shared" si="1"/>
        <v>2023-1-VBS-HC-FL-3-16S</v>
      </c>
      <c r="B117" t="s">
        <v>743</v>
      </c>
      <c r="C117" s="74" t="s">
        <v>295</v>
      </c>
      <c r="D117" s="88">
        <v>45069</v>
      </c>
      <c r="E117" t="s">
        <v>962</v>
      </c>
      <c r="F117" t="s">
        <v>549</v>
      </c>
      <c r="G117" t="s">
        <v>22</v>
      </c>
      <c r="H117" t="s">
        <v>547</v>
      </c>
      <c r="I117" t="s">
        <v>961</v>
      </c>
      <c r="J117" t="s">
        <v>51</v>
      </c>
      <c r="K117" t="s">
        <v>151</v>
      </c>
      <c r="L117">
        <v>3</v>
      </c>
      <c r="M117" t="s">
        <v>957</v>
      </c>
      <c r="N117" t="s">
        <v>1413</v>
      </c>
    </row>
    <row r="118" spans="1:14" x14ac:dyDescent="0.2">
      <c r="A118" t="str">
        <f t="shared" si="1"/>
        <v>2023-1-VBS-HC-LE-3-16S</v>
      </c>
      <c r="B118" t="s">
        <v>744</v>
      </c>
      <c r="C118" s="74" t="s">
        <v>296</v>
      </c>
      <c r="D118" s="88">
        <v>45069</v>
      </c>
      <c r="E118" t="s">
        <v>962</v>
      </c>
      <c r="F118" t="s">
        <v>549</v>
      </c>
      <c r="G118" t="s">
        <v>22</v>
      </c>
      <c r="H118" t="s">
        <v>547</v>
      </c>
      <c r="I118" t="s">
        <v>961</v>
      </c>
      <c r="J118" t="s">
        <v>51</v>
      </c>
      <c r="K118" t="s">
        <v>152</v>
      </c>
      <c r="L118">
        <v>3</v>
      </c>
      <c r="M118" t="s">
        <v>957</v>
      </c>
      <c r="N118" t="s">
        <v>1413</v>
      </c>
    </row>
    <row r="119" spans="1:14" x14ac:dyDescent="0.2">
      <c r="A119" t="str">
        <f t="shared" si="1"/>
        <v>2023-1-VBS-SP-FL-1-16S</v>
      </c>
      <c r="B119" t="s">
        <v>648</v>
      </c>
      <c r="C119" s="74" t="s">
        <v>297</v>
      </c>
      <c r="D119" s="88">
        <v>45069</v>
      </c>
      <c r="E119" t="s">
        <v>962</v>
      </c>
      <c r="F119" t="s">
        <v>549</v>
      </c>
      <c r="G119" t="s">
        <v>22</v>
      </c>
      <c r="H119" t="s">
        <v>547</v>
      </c>
      <c r="I119" t="s">
        <v>961</v>
      </c>
      <c r="J119" t="s">
        <v>60</v>
      </c>
      <c r="K119" t="s">
        <v>151</v>
      </c>
      <c r="L119">
        <v>1</v>
      </c>
      <c r="M119" t="s">
        <v>957</v>
      </c>
      <c r="N119" t="s">
        <v>1413</v>
      </c>
    </row>
    <row r="120" spans="1:14" x14ac:dyDescent="0.2">
      <c r="A120" t="str">
        <f t="shared" si="1"/>
        <v>2023-1-VBS-SP-LE-1-16S</v>
      </c>
      <c r="B120" t="s">
        <v>649</v>
      </c>
      <c r="C120" s="74" t="s">
        <v>298</v>
      </c>
      <c r="D120" s="88">
        <v>45069</v>
      </c>
      <c r="E120" t="s">
        <v>962</v>
      </c>
      <c r="F120" t="s">
        <v>549</v>
      </c>
      <c r="G120" t="s">
        <v>22</v>
      </c>
      <c r="H120" t="s">
        <v>547</v>
      </c>
      <c r="I120" t="s">
        <v>961</v>
      </c>
      <c r="J120" t="s">
        <v>60</v>
      </c>
      <c r="K120" t="s">
        <v>152</v>
      </c>
      <c r="L120">
        <v>1</v>
      </c>
      <c r="M120" t="s">
        <v>957</v>
      </c>
      <c r="N120" t="s">
        <v>1413</v>
      </c>
    </row>
    <row r="121" spans="1:14" x14ac:dyDescent="0.2">
      <c r="A121" t="str">
        <f t="shared" si="1"/>
        <v>2023-1-VBS-SP-FL-2-16S</v>
      </c>
      <c r="B121" t="s">
        <v>745</v>
      </c>
      <c r="C121" s="74" t="s">
        <v>299</v>
      </c>
      <c r="D121" s="88">
        <v>45069</v>
      </c>
      <c r="E121" t="s">
        <v>962</v>
      </c>
      <c r="F121" t="s">
        <v>549</v>
      </c>
      <c r="G121" t="s">
        <v>22</v>
      </c>
      <c r="H121" t="s">
        <v>547</v>
      </c>
      <c r="I121" t="s">
        <v>961</v>
      </c>
      <c r="J121" t="s">
        <v>60</v>
      </c>
      <c r="K121" t="s">
        <v>151</v>
      </c>
      <c r="L121">
        <v>2</v>
      </c>
      <c r="M121" t="s">
        <v>957</v>
      </c>
      <c r="N121" t="s">
        <v>1413</v>
      </c>
    </row>
    <row r="122" spans="1:14" x14ac:dyDescent="0.2">
      <c r="A122" t="str">
        <f t="shared" si="1"/>
        <v>2023-1-VBS-SP-LE-2-16S</v>
      </c>
      <c r="B122" t="s">
        <v>746</v>
      </c>
      <c r="C122" s="74" t="s">
        <v>300</v>
      </c>
      <c r="D122" s="88">
        <v>45069</v>
      </c>
      <c r="E122" t="s">
        <v>962</v>
      </c>
      <c r="F122" t="s">
        <v>549</v>
      </c>
      <c r="G122" t="s">
        <v>22</v>
      </c>
      <c r="H122" t="s">
        <v>547</v>
      </c>
      <c r="I122" t="s">
        <v>961</v>
      </c>
      <c r="J122" t="s">
        <v>60</v>
      </c>
      <c r="K122" t="s">
        <v>152</v>
      </c>
      <c r="L122">
        <v>2</v>
      </c>
      <c r="M122" t="s">
        <v>957</v>
      </c>
      <c r="N122" t="s">
        <v>1413</v>
      </c>
    </row>
    <row r="123" spans="1:14" x14ac:dyDescent="0.2">
      <c r="A123" t="str">
        <f t="shared" si="1"/>
        <v>2023-1-VBS-SP-FL-3-16S</v>
      </c>
      <c r="B123" t="s">
        <v>747</v>
      </c>
      <c r="C123" s="74" t="s">
        <v>301</v>
      </c>
      <c r="D123" s="88">
        <v>45069</v>
      </c>
      <c r="E123" t="s">
        <v>962</v>
      </c>
      <c r="F123" t="s">
        <v>549</v>
      </c>
      <c r="G123" t="s">
        <v>22</v>
      </c>
      <c r="H123" t="s">
        <v>547</v>
      </c>
      <c r="I123" t="s">
        <v>961</v>
      </c>
      <c r="J123" t="s">
        <v>60</v>
      </c>
      <c r="K123" t="s">
        <v>151</v>
      </c>
      <c r="L123">
        <v>3</v>
      </c>
      <c r="M123" t="s">
        <v>957</v>
      </c>
      <c r="N123" t="s">
        <v>1413</v>
      </c>
    </row>
    <row r="124" spans="1:14" x14ac:dyDescent="0.2">
      <c r="A124" t="str">
        <f t="shared" si="1"/>
        <v>2023-1-VBS-SP-LE-3-16S</v>
      </c>
      <c r="B124" t="s">
        <v>748</v>
      </c>
      <c r="C124" s="74" t="s">
        <v>302</v>
      </c>
      <c r="D124" s="88">
        <v>45069</v>
      </c>
      <c r="E124" t="s">
        <v>962</v>
      </c>
      <c r="F124" t="s">
        <v>549</v>
      </c>
      <c r="G124" t="s">
        <v>22</v>
      </c>
      <c r="H124" t="s">
        <v>547</v>
      </c>
      <c r="I124" t="s">
        <v>961</v>
      </c>
      <c r="J124" t="s">
        <v>60</v>
      </c>
      <c r="K124" t="s">
        <v>152</v>
      </c>
      <c r="L124">
        <v>3</v>
      </c>
      <c r="M124" t="s">
        <v>957</v>
      </c>
      <c r="N124" t="s">
        <v>1413</v>
      </c>
    </row>
    <row r="125" spans="1:14" x14ac:dyDescent="0.2">
      <c r="A125" t="str">
        <f t="shared" si="1"/>
        <v>2023-1-VBS-LI-FL-1-16S</v>
      </c>
      <c r="B125" t="s">
        <v>652</v>
      </c>
      <c r="C125" s="74" t="s">
        <v>303</v>
      </c>
      <c r="D125" s="88">
        <v>45069</v>
      </c>
      <c r="E125" t="s">
        <v>962</v>
      </c>
      <c r="F125" t="s">
        <v>549</v>
      </c>
      <c r="G125" t="s">
        <v>22</v>
      </c>
      <c r="H125" t="s">
        <v>547</v>
      </c>
      <c r="I125" t="s">
        <v>961</v>
      </c>
      <c r="J125" t="s">
        <v>36</v>
      </c>
      <c r="K125" t="s">
        <v>151</v>
      </c>
      <c r="L125">
        <v>1</v>
      </c>
      <c r="M125" t="s">
        <v>958</v>
      </c>
      <c r="N125" t="s">
        <v>1413</v>
      </c>
    </row>
    <row r="126" spans="1:14" x14ac:dyDescent="0.2">
      <c r="A126" t="str">
        <f t="shared" si="1"/>
        <v>2023-1-VBS-LI-LE-1-16S</v>
      </c>
      <c r="B126" t="s">
        <v>653</v>
      </c>
      <c r="C126" s="74" t="s">
        <v>304</v>
      </c>
      <c r="D126" s="88">
        <v>45069</v>
      </c>
      <c r="E126" t="s">
        <v>962</v>
      </c>
      <c r="F126" t="s">
        <v>549</v>
      </c>
      <c r="G126" t="s">
        <v>22</v>
      </c>
      <c r="H126" t="s">
        <v>547</v>
      </c>
      <c r="I126" t="s">
        <v>961</v>
      </c>
      <c r="J126" t="s">
        <v>36</v>
      </c>
      <c r="K126" t="s">
        <v>152</v>
      </c>
      <c r="L126">
        <v>1</v>
      </c>
      <c r="M126" t="s">
        <v>958</v>
      </c>
      <c r="N126" t="s">
        <v>1413</v>
      </c>
    </row>
    <row r="127" spans="1:14" x14ac:dyDescent="0.2">
      <c r="A127" t="str">
        <f t="shared" si="1"/>
        <v>2023-1-VBS-LI-FL-2-16S</v>
      </c>
      <c r="B127" t="s">
        <v>749</v>
      </c>
      <c r="C127" s="74" t="s">
        <v>305</v>
      </c>
      <c r="D127" s="88">
        <v>45069</v>
      </c>
      <c r="E127" t="s">
        <v>962</v>
      </c>
      <c r="F127" t="s">
        <v>549</v>
      </c>
      <c r="G127" t="s">
        <v>22</v>
      </c>
      <c r="H127" t="s">
        <v>547</v>
      </c>
      <c r="I127" t="s">
        <v>961</v>
      </c>
      <c r="J127" t="s">
        <v>36</v>
      </c>
      <c r="K127" t="s">
        <v>151</v>
      </c>
      <c r="L127">
        <v>2</v>
      </c>
      <c r="M127" t="s">
        <v>958</v>
      </c>
      <c r="N127" t="s">
        <v>1413</v>
      </c>
    </row>
    <row r="128" spans="1:14" x14ac:dyDescent="0.2">
      <c r="A128" t="str">
        <f t="shared" si="1"/>
        <v>2023-1-VBS-LI-LE-2-16S</v>
      </c>
      <c r="B128" t="s">
        <v>750</v>
      </c>
      <c r="C128" s="74" t="s">
        <v>306</v>
      </c>
      <c r="D128" s="88">
        <v>45069</v>
      </c>
      <c r="E128" t="s">
        <v>962</v>
      </c>
      <c r="F128" t="s">
        <v>549</v>
      </c>
      <c r="G128" t="s">
        <v>22</v>
      </c>
      <c r="H128" t="s">
        <v>547</v>
      </c>
      <c r="I128" t="s">
        <v>961</v>
      </c>
      <c r="J128" t="s">
        <v>36</v>
      </c>
      <c r="K128" t="s">
        <v>152</v>
      </c>
      <c r="L128">
        <v>2</v>
      </c>
      <c r="M128" t="s">
        <v>958</v>
      </c>
      <c r="N128" t="s">
        <v>1413</v>
      </c>
    </row>
    <row r="129" spans="1:14" x14ac:dyDescent="0.2">
      <c r="A129" t="str">
        <f t="shared" si="1"/>
        <v>2023-1-VBS-LI-FL-3-16S</v>
      </c>
      <c r="B129" t="s">
        <v>751</v>
      </c>
      <c r="C129" s="74" t="s">
        <v>307</v>
      </c>
      <c r="D129" s="88">
        <v>45069</v>
      </c>
      <c r="E129" t="s">
        <v>962</v>
      </c>
      <c r="F129" t="s">
        <v>549</v>
      </c>
      <c r="G129" t="s">
        <v>22</v>
      </c>
      <c r="H129" t="s">
        <v>547</v>
      </c>
      <c r="I129" t="s">
        <v>961</v>
      </c>
      <c r="J129" t="s">
        <v>36</v>
      </c>
      <c r="K129" t="s">
        <v>151</v>
      </c>
      <c r="L129">
        <v>3</v>
      </c>
      <c r="M129" t="s">
        <v>958</v>
      </c>
      <c r="N129" t="s">
        <v>1413</v>
      </c>
    </row>
    <row r="130" spans="1:14" x14ac:dyDescent="0.2">
      <c r="A130" t="str">
        <f t="shared" si="1"/>
        <v>2023-1-VBS-LI-LE-3-16S</v>
      </c>
      <c r="B130" t="s">
        <v>752</v>
      </c>
      <c r="C130" s="74" t="s">
        <v>308</v>
      </c>
      <c r="D130" s="88">
        <v>45069</v>
      </c>
      <c r="E130" t="s">
        <v>962</v>
      </c>
      <c r="F130" t="s">
        <v>549</v>
      </c>
      <c r="G130" t="s">
        <v>22</v>
      </c>
      <c r="H130" t="s">
        <v>547</v>
      </c>
      <c r="I130" t="s">
        <v>961</v>
      </c>
      <c r="J130" t="s">
        <v>36</v>
      </c>
      <c r="K130" t="s">
        <v>152</v>
      </c>
      <c r="L130">
        <v>3</v>
      </c>
      <c r="M130" t="s">
        <v>958</v>
      </c>
      <c r="N130" t="s">
        <v>1413</v>
      </c>
    </row>
    <row r="131" spans="1:14" x14ac:dyDescent="0.2">
      <c r="A131" t="str">
        <f t="shared" ref="A131:A194" si="2">"2023-"&amp;B131&amp;"-16S"</f>
        <v>2023-1-VBS-FR-FL-1-16S</v>
      </c>
      <c r="B131" t="s">
        <v>656</v>
      </c>
      <c r="C131" s="74" t="s">
        <v>309</v>
      </c>
      <c r="D131" s="88">
        <v>45069</v>
      </c>
      <c r="E131" t="s">
        <v>962</v>
      </c>
      <c r="F131" t="s">
        <v>549</v>
      </c>
      <c r="G131" t="s">
        <v>22</v>
      </c>
      <c r="H131" t="s">
        <v>547</v>
      </c>
      <c r="I131" t="s">
        <v>961</v>
      </c>
      <c r="J131" t="s">
        <v>34</v>
      </c>
      <c r="K131" t="s">
        <v>151</v>
      </c>
      <c r="L131">
        <v>1</v>
      </c>
      <c r="M131" t="s">
        <v>958</v>
      </c>
      <c r="N131" t="s">
        <v>1413</v>
      </c>
    </row>
    <row r="132" spans="1:14" x14ac:dyDescent="0.2">
      <c r="A132" t="str">
        <f t="shared" si="2"/>
        <v>2023-1-VBS-FR-LE-1-16S</v>
      </c>
      <c r="B132" t="s">
        <v>657</v>
      </c>
      <c r="C132" s="74" t="s">
        <v>310</v>
      </c>
      <c r="D132" s="88">
        <v>45069</v>
      </c>
      <c r="E132" t="s">
        <v>962</v>
      </c>
      <c r="F132" t="s">
        <v>549</v>
      </c>
      <c r="G132" t="s">
        <v>22</v>
      </c>
      <c r="H132" t="s">
        <v>547</v>
      </c>
      <c r="I132" t="s">
        <v>961</v>
      </c>
      <c r="J132" t="s">
        <v>34</v>
      </c>
      <c r="K132" t="s">
        <v>152</v>
      </c>
      <c r="L132">
        <v>1</v>
      </c>
      <c r="M132" t="s">
        <v>958</v>
      </c>
      <c r="N132" t="s">
        <v>1413</v>
      </c>
    </row>
    <row r="133" spans="1:14" x14ac:dyDescent="0.2">
      <c r="A133" t="str">
        <f t="shared" si="2"/>
        <v>2023-1-VBS-FR-FL-2-16S</v>
      </c>
      <c r="B133" t="s">
        <v>753</v>
      </c>
      <c r="C133" s="74" t="s">
        <v>311</v>
      </c>
      <c r="D133" s="88">
        <v>45069</v>
      </c>
      <c r="E133" t="s">
        <v>962</v>
      </c>
      <c r="F133" t="s">
        <v>549</v>
      </c>
      <c r="G133" t="s">
        <v>22</v>
      </c>
      <c r="H133" t="s">
        <v>547</v>
      </c>
      <c r="I133" t="s">
        <v>961</v>
      </c>
      <c r="J133" t="s">
        <v>34</v>
      </c>
      <c r="K133" t="s">
        <v>151</v>
      </c>
      <c r="L133">
        <v>2</v>
      </c>
      <c r="M133" t="s">
        <v>958</v>
      </c>
      <c r="N133" t="s">
        <v>1413</v>
      </c>
    </row>
    <row r="134" spans="1:14" x14ac:dyDescent="0.2">
      <c r="A134" t="str">
        <f t="shared" si="2"/>
        <v>2023-1-VBS-FR-LE-2-16S</v>
      </c>
      <c r="B134" t="s">
        <v>754</v>
      </c>
      <c r="C134" s="74" t="s">
        <v>312</v>
      </c>
      <c r="D134" s="88">
        <v>45069</v>
      </c>
      <c r="E134" t="s">
        <v>962</v>
      </c>
      <c r="F134" t="s">
        <v>549</v>
      </c>
      <c r="G134" t="s">
        <v>22</v>
      </c>
      <c r="H134" t="s">
        <v>547</v>
      </c>
      <c r="I134" t="s">
        <v>961</v>
      </c>
      <c r="J134" t="s">
        <v>34</v>
      </c>
      <c r="K134" t="s">
        <v>152</v>
      </c>
      <c r="L134">
        <v>2</v>
      </c>
      <c r="M134" t="s">
        <v>958</v>
      </c>
      <c r="N134" t="s">
        <v>1413</v>
      </c>
    </row>
    <row r="135" spans="1:14" x14ac:dyDescent="0.2">
      <c r="A135" t="str">
        <f t="shared" si="2"/>
        <v>2023-1-VBS-FR-FL-3-16S</v>
      </c>
      <c r="B135" t="s">
        <v>755</v>
      </c>
      <c r="C135" s="74" t="s">
        <v>313</v>
      </c>
      <c r="D135" s="88">
        <v>45069</v>
      </c>
      <c r="E135" t="s">
        <v>962</v>
      </c>
      <c r="F135" t="s">
        <v>549</v>
      </c>
      <c r="G135" t="s">
        <v>22</v>
      </c>
      <c r="H135" t="s">
        <v>547</v>
      </c>
      <c r="I135" t="s">
        <v>961</v>
      </c>
      <c r="J135" t="s">
        <v>34</v>
      </c>
      <c r="K135" t="s">
        <v>151</v>
      </c>
      <c r="L135">
        <v>3</v>
      </c>
      <c r="M135" t="s">
        <v>958</v>
      </c>
      <c r="N135" t="s">
        <v>1413</v>
      </c>
    </row>
    <row r="136" spans="1:14" x14ac:dyDescent="0.2">
      <c r="A136" t="str">
        <f t="shared" si="2"/>
        <v>2023-1-VBS-FR-LE-3-16S</v>
      </c>
      <c r="B136" t="s">
        <v>756</v>
      </c>
      <c r="C136" s="74" t="s">
        <v>314</v>
      </c>
      <c r="D136" s="88">
        <v>45069</v>
      </c>
      <c r="E136" t="s">
        <v>962</v>
      </c>
      <c r="F136" t="s">
        <v>549</v>
      </c>
      <c r="G136" t="s">
        <v>22</v>
      </c>
      <c r="H136" t="s">
        <v>547</v>
      </c>
      <c r="I136" t="s">
        <v>961</v>
      </c>
      <c r="J136" t="s">
        <v>34</v>
      </c>
      <c r="K136" t="s">
        <v>152</v>
      </c>
      <c r="L136">
        <v>3</v>
      </c>
      <c r="M136" t="s">
        <v>958</v>
      </c>
      <c r="N136" t="s">
        <v>1413</v>
      </c>
    </row>
    <row r="137" spans="1:14" x14ac:dyDescent="0.2">
      <c r="A137" t="str">
        <f t="shared" si="2"/>
        <v>2023-1-MIC-CL-LE-1-16S</v>
      </c>
      <c r="B137" t="s">
        <v>757</v>
      </c>
      <c r="C137" s="74" t="s">
        <v>315</v>
      </c>
      <c r="D137" s="88">
        <v>45071</v>
      </c>
      <c r="E137" t="s">
        <v>962</v>
      </c>
      <c r="F137" t="s">
        <v>552</v>
      </c>
      <c r="G137" t="s">
        <v>95</v>
      </c>
      <c r="H137" t="s">
        <v>543</v>
      </c>
      <c r="I137" t="s">
        <v>960</v>
      </c>
      <c r="J137" t="s">
        <v>43</v>
      </c>
      <c r="K137" t="s">
        <v>152</v>
      </c>
      <c r="L137">
        <v>1</v>
      </c>
      <c r="M137" t="s">
        <v>956</v>
      </c>
      <c r="N137" t="s">
        <v>1413</v>
      </c>
    </row>
    <row r="138" spans="1:14" x14ac:dyDescent="0.2">
      <c r="A138" t="str">
        <f t="shared" si="2"/>
        <v>2023-1-MIC-CL-LE-2-16S</v>
      </c>
      <c r="B138" t="s">
        <v>760</v>
      </c>
      <c r="C138" s="74" t="s">
        <v>316</v>
      </c>
      <c r="D138" s="88">
        <v>45071</v>
      </c>
      <c r="E138" t="s">
        <v>962</v>
      </c>
      <c r="F138" t="s">
        <v>552</v>
      </c>
      <c r="G138" t="s">
        <v>95</v>
      </c>
      <c r="H138" t="s">
        <v>543</v>
      </c>
      <c r="I138" t="s">
        <v>960</v>
      </c>
      <c r="J138" t="s">
        <v>43</v>
      </c>
      <c r="K138" t="s">
        <v>152</v>
      </c>
      <c r="L138">
        <v>2</v>
      </c>
      <c r="M138" t="s">
        <v>956</v>
      </c>
      <c r="N138" t="s">
        <v>1413</v>
      </c>
    </row>
    <row r="139" spans="1:14" x14ac:dyDescent="0.2">
      <c r="A139" t="str">
        <f t="shared" si="2"/>
        <v>2023-1-MIC-CL-LE-3-16S</v>
      </c>
      <c r="B139" t="s">
        <v>761</v>
      </c>
      <c r="C139" s="74" t="s">
        <v>317</v>
      </c>
      <c r="D139" s="88">
        <v>45071</v>
      </c>
      <c r="E139" t="s">
        <v>962</v>
      </c>
      <c r="F139" t="s">
        <v>552</v>
      </c>
      <c r="G139" t="s">
        <v>95</v>
      </c>
      <c r="H139" t="s">
        <v>543</v>
      </c>
      <c r="I139" t="s">
        <v>960</v>
      </c>
      <c r="J139" t="s">
        <v>43</v>
      </c>
      <c r="K139" t="s">
        <v>152</v>
      </c>
      <c r="L139">
        <v>3</v>
      </c>
      <c r="M139" t="s">
        <v>956</v>
      </c>
      <c r="N139" t="s">
        <v>1413</v>
      </c>
    </row>
    <row r="140" spans="1:14" x14ac:dyDescent="0.2">
      <c r="A140" t="str">
        <f t="shared" si="2"/>
        <v>2023-1-MIC-HC-LE-1-16S</v>
      </c>
      <c r="B140" t="s">
        <v>762</v>
      </c>
      <c r="C140" s="74" t="s">
        <v>318</v>
      </c>
      <c r="D140" s="88">
        <v>45071</v>
      </c>
      <c r="E140" t="s">
        <v>962</v>
      </c>
      <c r="F140" t="s">
        <v>552</v>
      </c>
      <c r="G140" t="s">
        <v>95</v>
      </c>
      <c r="H140" t="s">
        <v>543</v>
      </c>
      <c r="I140" t="s">
        <v>960</v>
      </c>
      <c r="J140" t="s">
        <v>51</v>
      </c>
      <c r="K140" t="s">
        <v>152</v>
      </c>
      <c r="L140">
        <v>1</v>
      </c>
      <c r="M140" t="s">
        <v>957</v>
      </c>
      <c r="N140" t="s">
        <v>1413</v>
      </c>
    </row>
    <row r="141" spans="1:14" x14ac:dyDescent="0.2">
      <c r="A141" t="str">
        <f t="shared" si="2"/>
        <v>2023-1-MIC-HC-LE-2-16S</v>
      </c>
      <c r="B141" t="s">
        <v>765</v>
      </c>
      <c r="C141" s="74" t="s">
        <v>319</v>
      </c>
      <c r="D141" s="88">
        <v>45071</v>
      </c>
      <c r="E141" t="s">
        <v>962</v>
      </c>
      <c r="F141" t="s">
        <v>552</v>
      </c>
      <c r="G141" t="s">
        <v>95</v>
      </c>
      <c r="H141" t="s">
        <v>543</v>
      </c>
      <c r="I141" t="s">
        <v>960</v>
      </c>
      <c r="J141" t="s">
        <v>51</v>
      </c>
      <c r="K141" t="s">
        <v>152</v>
      </c>
      <c r="L141">
        <v>2</v>
      </c>
      <c r="M141" t="s">
        <v>957</v>
      </c>
      <c r="N141" t="s">
        <v>1413</v>
      </c>
    </row>
    <row r="142" spans="1:14" x14ac:dyDescent="0.2">
      <c r="A142" t="str">
        <f t="shared" si="2"/>
        <v>2023-1-MIC-HC-LE-3-16S</v>
      </c>
      <c r="B142" t="s">
        <v>766</v>
      </c>
      <c r="C142" s="74" t="s">
        <v>320</v>
      </c>
      <c r="D142" s="88">
        <v>45071</v>
      </c>
      <c r="E142" t="s">
        <v>962</v>
      </c>
      <c r="F142" t="s">
        <v>552</v>
      </c>
      <c r="G142" t="s">
        <v>95</v>
      </c>
      <c r="H142" t="s">
        <v>543</v>
      </c>
      <c r="I142" t="s">
        <v>960</v>
      </c>
      <c r="J142" t="s">
        <v>51</v>
      </c>
      <c r="K142" t="s">
        <v>152</v>
      </c>
      <c r="L142">
        <v>3</v>
      </c>
      <c r="M142" t="s">
        <v>957</v>
      </c>
      <c r="N142" t="s">
        <v>1413</v>
      </c>
    </row>
    <row r="143" spans="1:14" x14ac:dyDescent="0.2">
      <c r="A143" t="str">
        <f t="shared" si="2"/>
        <v>2023-1-MIC-SP-LE-1-16S</v>
      </c>
      <c r="B143" t="s">
        <v>660</v>
      </c>
      <c r="C143" s="74" t="s">
        <v>321</v>
      </c>
      <c r="D143" s="88">
        <v>45071</v>
      </c>
      <c r="E143" t="s">
        <v>962</v>
      </c>
      <c r="F143" t="s">
        <v>552</v>
      </c>
      <c r="G143" t="s">
        <v>95</v>
      </c>
      <c r="H143" t="s">
        <v>543</v>
      </c>
      <c r="I143" t="s">
        <v>960</v>
      </c>
      <c r="J143" t="s">
        <v>60</v>
      </c>
      <c r="K143" t="s">
        <v>152</v>
      </c>
      <c r="L143">
        <v>1</v>
      </c>
      <c r="M143" t="s">
        <v>957</v>
      </c>
      <c r="N143" t="s">
        <v>1413</v>
      </c>
    </row>
    <row r="144" spans="1:14" x14ac:dyDescent="0.2">
      <c r="A144" t="str">
        <f t="shared" si="2"/>
        <v>2023-1-MIC-SP-LE-2-16S</v>
      </c>
      <c r="B144" t="s">
        <v>767</v>
      </c>
      <c r="C144" s="74" t="s">
        <v>322</v>
      </c>
      <c r="D144" s="88">
        <v>45071</v>
      </c>
      <c r="E144" t="s">
        <v>962</v>
      </c>
      <c r="F144" t="s">
        <v>552</v>
      </c>
      <c r="G144" t="s">
        <v>95</v>
      </c>
      <c r="H144" t="s">
        <v>543</v>
      </c>
      <c r="I144" t="s">
        <v>960</v>
      </c>
      <c r="J144" t="s">
        <v>60</v>
      </c>
      <c r="K144" t="s">
        <v>152</v>
      </c>
      <c r="L144">
        <v>2</v>
      </c>
      <c r="M144" t="s">
        <v>957</v>
      </c>
      <c r="N144" t="s">
        <v>1413</v>
      </c>
    </row>
    <row r="145" spans="1:14" x14ac:dyDescent="0.2">
      <c r="A145" t="str">
        <f t="shared" si="2"/>
        <v>2023-1-MIC-SP-LE-3-16S</v>
      </c>
      <c r="B145" t="s">
        <v>768</v>
      </c>
      <c r="C145" s="74" t="s">
        <v>323</v>
      </c>
      <c r="D145" s="88">
        <v>45071</v>
      </c>
      <c r="E145" t="s">
        <v>962</v>
      </c>
      <c r="F145" t="s">
        <v>552</v>
      </c>
      <c r="G145" t="s">
        <v>95</v>
      </c>
      <c r="H145" t="s">
        <v>543</v>
      </c>
      <c r="I145" t="s">
        <v>960</v>
      </c>
      <c r="J145" t="s">
        <v>60</v>
      </c>
      <c r="K145" t="s">
        <v>152</v>
      </c>
      <c r="L145">
        <v>3</v>
      </c>
      <c r="M145" t="s">
        <v>957</v>
      </c>
      <c r="N145" t="s">
        <v>1413</v>
      </c>
    </row>
    <row r="146" spans="1:14" x14ac:dyDescent="0.2">
      <c r="A146" t="str">
        <f t="shared" si="2"/>
        <v>2023-1-MIC-LI-LE-1-16S</v>
      </c>
      <c r="B146" t="s">
        <v>663</v>
      </c>
      <c r="C146" s="74" t="s">
        <v>324</v>
      </c>
      <c r="D146" s="88">
        <v>45071</v>
      </c>
      <c r="E146" t="s">
        <v>962</v>
      </c>
      <c r="F146" t="s">
        <v>552</v>
      </c>
      <c r="G146" t="s">
        <v>95</v>
      </c>
      <c r="H146" t="s">
        <v>543</v>
      </c>
      <c r="I146" t="s">
        <v>960</v>
      </c>
      <c r="J146" t="s">
        <v>36</v>
      </c>
      <c r="K146" t="s">
        <v>152</v>
      </c>
      <c r="L146">
        <v>1</v>
      </c>
      <c r="M146" t="s">
        <v>958</v>
      </c>
      <c r="N146" t="s">
        <v>1413</v>
      </c>
    </row>
    <row r="147" spans="1:14" x14ac:dyDescent="0.2">
      <c r="A147" t="str">
        <f t="shared" si="2"/>
        <v>2023-1-MIC-LI-LE-2-16S</v>
      </c>
      <c r="B147" t="s">
        <v>769</v>
      </c>
      <c r="C147" s="74" t="s">
        <v>325</v>
      </c>
      <c r="D147" s="88">
        <v>45071</v>
      </c>
      <c r="E147" t="s">
        <v>962</v>
      </c>
      <c r="F147" t="s">
        <v>552</v>
      </c>
      <c r="G147" t="s">
        <v>95</v>
      </c>
      <c r="H147" t="s">
        <v>543</v>
      </c>
      <c r="I147" t="s">
        <v>960</v>
      </c>
      <c r="J147" t="s">
        <v>36</v>
      </c>
      <c r="K147" t="s">
        <v>152</v>
      </c>
      <c r="L147">
        <v>2</v>
      </c>
      <c r="M147" t="s">
        <v>958</v>
      </c>
      <c r="N147" t="s">
        <v>1413</v>
      </c>
    </row>
    <row r="148" spans="1:14" x14ac:dyDescent="0.2">
      <c r="A148" t="str">
        <f t="shared" si="2"/>
        <v>2023-1-MIC-LI-LE-3-16S</v>
      </c>
      <c r="B148" t="s">
        <v>770</v>
      </c>
      <c r="C148" s="74" t="s">
        <v>326</v>
      </c>
      <c r="D148" s="88">
        <v>45071</v>
      </c>
      <c r="E148" t="s">
        <v>962</v>
      </c>
      <c r="F148" t="s">
        <v>552</v>
      </c>
      <c r="G148" t="s">
        <v>95</v>
      </c>
      <c r="H148" t="s">
        <v>543</v>
      </c>
      <c r="I148" t="s">
        <v>960</v>
      </c>
      <c r="J148" t="s">
        <v>36</v>
      </c>
      <c r="K148" t="s">
        <v>152</v>
      </c>
      <c r="L148">
        <v>3</v>
      </c>
      <c r="M148" t="s">
        <v>958</v>
      </c>
      <c r="N148" t="s">
        <v>1413</v>
      </c>
    </row>
    <row r="149" spans="1:14" x14ac:dyDescent="0.2">
      <c r="A149" t="str">
        <f t="shared" si="2"/>
        <v>2023-1-MIC-EM-LE-1-16S</v>
      </c>
      <c r="B149" t="s">
        <v>666</v>
      </c>
      <c r="C149" s="74" t="s">
        <v>327</v>
      </c>
      <c r="D149" s="88">
        <v>45071</v>
      </c>
      <c r="E149" t="s">
        <v>962</v>
      </c>
      <c r="F149" t="s">
        <v>552</v>
      </c>
      <c r="G149" t="s">
        <v>95</v>
      </c>
      <c r="H149" t="s">
        <v>543</v>
      </c>
      <c r="I149" t="s">
        <v>960</v>
      </c>
      <c r="J149" t="s">
        <v>45</v>
      </c>
      <c r="K149" t="s">
        <v>152</v>
      </c>
      <c r="L149">
        <v>1</v>
      </c>
      <c r="M149" t="s">
        <v>958</v>
      </c>
      <c r="N149" t="s">
        <v>1413</v>
      </c>
    </row>
    <row r="150" spans="1:14" x14ac:dyDescent="0.2">
      <c r="A150" t="str">
        <f t="shared" si="2"/>
        <v>2023-1-MIC-EM-LE-2-16S</v>
      </c>
      <c r="B150" t="s">
        <v>771</v>
      </c>
      <c r="C150" s="74" t="s">
        <v>328</v>
      </c>
      <c r="D150" s="88">
        <v>45071</v>
      </c>
      <c r="E150" t="s">
        <v>962</v>
      </c>
      <c r="F150" t="s">
        <v>552</v>
      </c>
      <c r="G150" t="s">
        <v>95</v>
      </c>
      <c r="H150" t="s">
        <v>543</v>
      </c>
      <c r="I150" t="s">
        <v>960</v>
      </c>
      <c r="J150" t="s">
        <v>45</v>
      </c>
      <c r="K150" t="s">
        <v>152</v>
      </c>
      <c r="L150">
        <v>2</v>
      </c>
      <c r="M150" t="s">
        <v>958</v>
      </c>
      <c r="N150" t="s">
        <v>1413</v>
      </c>
    </row>
    <row r="151" spans="1:14" x14ac:dyDescent="0.2">
      <c r="A151" t="str">
        <f t="shared" si="2"/>
        <v>2023-1-MIC-EM-LE-3-16S</v>
      </c>
      <c r="B151" t="s">
        <v>772</v>
      </c>
      <c r="C151" s="74" t="s">
        <v>329</v>
      </c>
      <c r="D151" s="88">
        <v>45071</v>
      </c>
      <c r="E151" t="s">
        <v>962</v>
      </c>
      <c r="F151" t="s">
        <v>552</v>
      </c>
      <c r="G151" t="s">
        <v>95</v>
      </c>
      <c r="H151" t="s">
        <v>543</v>
      </c>
      <c r="I151" t="s">
        <v>960</v>
      </c>
      <c r="J151" t="s">
        <v>45</v>
      </c>
      <c r="K151" t="s">
        <v>152</v>
      </c>
      <c r="L151">
        <v>3</v>
      </c>
      <c r="M151" t="s">
        <v>958</v>
      </c>
      <c r="N151" t="s">
        <v>1413</v>
      </c>
    </row>
    <row r="152" spans="1:14" x14ac:dyDescent="0.2">
      <c r="A152" t="str">
        <f t="shared" si="2"/>
        <v>2023-1-MIB-CL-LE-1-16S</v>
      </c>
      <c r="B152" t="s">
        <v>773</v>
      </c>
      <c r="C152" s="74" t="s">
        <v>330</v>
      </c>
      <c r="D152" s="88">
        <v>45071</v>
      </c>
      <c r="E152" t="s">
        <v>962</v>
      </c>
      <c r="F152" t="s">
        <v>550</v>
      </c>
      <c r="G152" t="s">
        <v>94</v>
      </c>
      <c r="H152" t="s">
        <v>544</v>
      </c>
      <c r="I152" t="s">
        <v>961</v>
      </c>
      <c r="J152" t="s">
        <v>43</v>
      </c>
      <c r="K152" t="s">
        <v>152</v>
      </c>
      <c r="L152">
        <v>1</v>
      </c>
      <c r="M152" t="s">
        <v>956</v>
      </c>
      <c r="N152" t="s">
        <v>1413</v>
      </c>
    </row>
    <row r="153" spans="1:14" x14ac:dyDescent="0.2">
      <c r="A153" t="str">
        <f t="shared" si="2"/>
        <v>2023-1-MIB-CL-LE-2-16S</v>
      </c>
      <c r="B153" t="s">
        <v>774</v>
      </c>
      <c r="C153" s="74" t="s">
        <v>331</v>
      </c>
      <c r="D153" s="88">
        <v>45071</v>
      </c>
      <c r="E153" t="s">
        <v>962</v>
      </c>
      <c r="F153" t="s">
        <v>550</v>
      </c>
      <c r="G153" t="s">
        <v>94</v>
      </c>
      <c r="H153" t="s">
        <v>544</v>
      </c>
      <c r="I153" t="s">
        <v>961</v>
      </c>
      <c r="J153" t="s">
        <v>43</v>
      </c>
      <c r="K153" t="s">
        <v>152</v>
      </c>
      <c r="L153">
        <v>2</v>
      </c>
      <c r="M153" t="s">
        <v>956</v>
      </c>
      <c r="N153" t="s">
        <v>1413</v>
      </c>
    </row>
    <row r="154" spans="1:14" x14ac:dyDescent="0.2">
      <c r="A154" t="str">
        <f t="shared" si="2"/>
        <v>2023-1-MIB-CL-LE-3-16S</v>
      </c>
      <c r="B154" t="s">
        <v>775</v>
      </c>
      <c r="C154" s="74" t="s">
        <v>332</v>
      </c>
      <c r="D154" s="88">
        <v>45071</v>
      </c>
      <c r="E154" t="s">
        <v>962</v>
      </c>
      <c r="F154" t="s">
        <v>550</v>
      </c>
      <c r="G154" t="s">
        <v>94</v>
      </c>
      <c r="H154" t="s">
        <v>544</v>
      </c>
      <c r="I154" t="s">
        <v>961</v>
      </c>
      <c r="J154" t="s">
        <v>43</v>
      </c>
      <c r="K154" t="s">
        <v>152</v>
      </c>
      <c r="L154">
        <v>3</v>
      </c>
      <c r="M154" t="s">
        <v>956</v>
      </c>
      <c r="N154" t="s">
        <v>1413</v>
      </c>
    </row>
    <row r="155" spans="1:14" x14ac:dyDescent="0.2">
      <c r="A155" t="str">
        <f t="shared" si="2"/>
        <v>2023-1-MIB-HC-LE-1-16S</v>
      </c>
      <c r="B155" t="s">
        <v>776</v>
      </c>
      <c r="C155" s="74" t="s">
        <v>333</v>
      </c>
      <c r="D155" s="88">
        <v>45071</v>
      </c>
      <c r="E155" t="s">
        <v>962</v>
      </c>
      <c r="F155" t="s">
        <v>550</v>
      </c>
      <c r="G155" t="s">
        <v>94</v>
      </c>
      <c r="H155" t="s">
        <v>544</v>
      </c>
      <c r="I155" t="s">
        <v>961</v>
      </c>
      <c r="J155" t="s">
        <v>51</v>
      </c>
      <c r="K155" t="s">
        <v>152</v>
      </c>
      <c r="L155">
        <v>1</v>
      </c>
      <c r="M155" t="s">
        <v>957</v>
      </c>
      <c r="N155" t="s">
        <v>1413</v>
      </c>
    </row>
    <row r="156" spans="1:14" x14ac:dyDescent="0.2">
      <c r="A156" t="str">
        <f t="shared" si="2"/>
        <v>2023-1-MIB-HC-LE-2-16S</v>
      </c>
      <c r="B156" t="s">
        <v>777</v>
      </c>
      <c r="C156" s="74" t="s">
        <v>334</v>
      </c>
      <c r="D156" s="88">
        <v>45071</v>
      </c>
      <c r="E156" t="s">
        <v>962</v>
      </c>
      <c r="F156" t="s">
        <v>550</v>
      </c>
      <c r="G156" t="s">
        <v>94</v>
      </c>
      <c r="H156" t="s">
        <v>544</v>
      </c>
      <c r="I156" t="s">
        <v>961</v>
      </c>
      <c r="J156" t="s">
        <v>51</v>
      </c>
      <c r="K156" t="s">
        <v>152</v>
      </c>
      <c r="L156">
        <v>2</v>
      </c>
      <c r="M156" t="s">
        <v>957</v>
      </c>
      <c r="N156" t="s">
        <v>1413</v>
      </c>
    </row>
    <row r="157" spans="1:14" x14ac:dyDescent="0.2">
      <c r="A157" t="str">
        <f t="shared" si="2"/>
        <v>2023-1-MIB-HC-LE-3-16S</v>
      </c>
      <c r="B157" t="s">
        <v>778</v>
      </c>
      <c r="C157" s="74" t="s">
        <v>335</v>
      </c>
      <c r="D157" s="88">
        <v>45071</v>
      </c>
      <c r="E157" t="s">
        <v>962</v>
      </c>
      <c r="F157" t="s">
        <v>550</v>
      </c>
      <c r="G157" t="s">
        <v>94</v>
      </c>
      <c r="H157" t="s">
        <v>544</v>
      </c>
      <c r="I157" t="s">
        <v>961</v>
      </c>
      <c r="J157" t="s">
        <v>51</v>
      </c>
      <c r="K157" t="s">
        <v>152</v>
      </c>
      <c r="L157">
        <v>3</v>
      </c>
      <c r="M157" t="s">
        <v>957</v>
      </c>
      <c r="N157" t="s">
        <v>1413</v>
      </c>
    </row>
    <row r="158" spans="1:14" x14ac:dyDescent="0.2">
      <c r="A158" t="str">
        <f t="shared" si="2"/>
        <v>2023-1-MIB-SP-LE-1-16S</v>
      </c>
      <c r="B158" t="s">
        <v>669</v>
      </c>
      <c r="C158" s="74" t="s">
        <v>336</v>
      </c>
      <c r="D158" s="88">
        <v>45071</v>
      </c>
      <c r="E158" t="s">
        <v>962</v>
      </c>
      <c r="F158" t="s">
        <v>550</v>
      </c>
      <c r="G158" t="s">
        <v>94</v>
      </c>
      <c r="H158" t="s">
        <v>544</v>
      </c>
      <c r="I158" t="s">
        <v>961</v>
      </c>
      <c r="J158" t="s">
        <v>60</v>
      </c>
      <c r="K158" t="s">
        <v>152</v>
      </c>
      <c r="L158">
        <v>1</v>
      </c>
      <c r="M158" t="s">
        <v>957</v>
      </c>
      <c r="N158" t="s">
        <v>1413</v>
      </c>
    </row>
    <row r="159" spans="1:14" x14ac:dyDescent="0.2">
      <c r="A159" t="str">
        <f t="shared" si="2"/>
        <v>2023-1-MIB-SP-LE-2-16S</v>
      </c>
      <c r="B159" t="s">
        <v>779</v>
      </c>
      <c r="C159" s="74" t="s">
        <v>337</v>
      </c>
      <c r="D159" s="88">
        <v>45071</v>
      </c>
      <c r="E159" t="s">
        <v>962</v>
      </c>
      <c r="F159" t="s">
        <v>550</v>
      </c>
      <c r="G159" t="s">
        <v>94</v>
      </c>
      <c r="H159" t="s">
        <v>544</v>
      </c>
      <c r="I159" t="s">
        <v>961</v>
      </c>
      <c r="J159" t="s">
        <v>60</v>
      </c>
      <c r="K159" t="s">
        <v>152</v>
      </c>
      <c r="L159">
        <v>2</v>
      </c>
      <c r="M159" t="s">
        <v>957</v>
      </c>
      <c r="N159" t="s">
        <v>1413</v>
      </c>
    </row>
    <row r="160" spans="1:14" x14ac:dyDescent="0.2">
      <c r="A160" t="str">
        <f t="shared" si="2"/>
        <v>2023-1-MIB-SP-LE-3-16S</v>
      </c>
      <c r="B160" t="s">
        <v>780</v>
      </c>
      <c r="C160" s="74" t="s">
        <v>338</v>
      </c>
      <c r="D160" s="88">
        <v>45071</v>
      </c>
      <c r="E160" t="s">
        <v>962</v>
      </c>
      <c r="F160" t="s">
        <v>550</v>
      </c>
      <c r="G160" t="s">
        <v>94</v>
      </c>
      <c r="H160" t="s">
        <v>544</v>
      </c>
      <c r="I160" t="s">
        <v>961</v>
      </c>
      <c r="J160" t="s">
        <v>60</v>
      </c>
      <c r="K160" t="s">
        <v>152</v>
      </c>
      <c r="L160">
        <v>3</v>
      </c>
      <c r="M160" t="s">
        <v>957</v>
      </c>
      <c r="N160" t="s">
        <v>1413</v>
      </c>
    </row>
    <row r="161" spans="1:14" x14ac:dyDescent="0.2">
      <c r="A161" t="str">
        <f t="shared" si="2"/>
        <v>2023-1-MIB-LI-LE-1-16S</v>
      </c>
      <c r="B161" t="s">
        <v>672</v>
      </c>
      <c r="C161" s="74" t="s">
        <v>339</v>
      </c>
      <c r="D161" s="88">
        <v>45071</v>
      </c>
      <c r="E161" t="s">
        <v>962</v>
      </c>
      <c r="F161" t="s">
        <v>550</v>
      </c>
      <c r="G161" t="s">
        <v>94</v>
      </c>
      <c r="H161" t="s">
        <v>544</v>
      </c>
      <c r="I161" t="s">
        <v>961</v>
      </c>
      <c r="J161" t="s">
        <v>36</v>
      </c>
      <c r="K161" t="s">
        <v>152</v>
      </c>
      <c r="L161">
        <v>1</v>
      </c>
      <c r="M161" t="s">
        <v>958</v>
      </c>
      <c r="N161" t="s">
        <v>1413</v>
      </c>
    </row>
    <row r="162" spans="1:14" x14ac:dyDescent="0.2">
      <c r="A162" t="str">
        <f t="shared" si="2"/>
        <v>2023-1-MIB-LI-LE-2-16S</v>
      </c>
      <c r="B162" t="s">
        <v>781</v>
      </c>
      <c r="C162" s="74" t="s">
        <v>340</v>
      </c>
      <c r="D162" s="88">
        <v>45071</v>
      </c>
      <c r="E162" t="s">
        <v>962</v>
      </c>
      <c r="F162" t="s">
        <v>550</v>
      </c>
      <c r="G162" t="s">
        <v>94</v>
      </c>
      <c r="H162" t="s">
        <v>544</v>
      </c>
      <c r="I162" t="s">
        <v>961</v>
      </c>
      <c r="J162" t="s">
        <v>36</v>
      </c>
      <c r="K162" t="s">
        <v>152</v>
      </c>
      <c r="L162">
        <v>2</v>
      </c>
      <c r="M162" t="s">
        <v>958</v>
      </c>
      <c r="N162" t="s">
        <v>1413</v>
      </c>
    </row>
    <row r="163" spans="1:14" x14ac:dyDescent="0.2">
      <c r="A163" t="str">
        <f t="shared" si="2"/>
        <v>2023-1-MIB-LI-LE-3-16S</v>
      </c>
      <c r="B163" t="s">
        <v>782</v>
      </c>
      <c r="C163" s="74" t="s">
        <v>341</v>
      </c>
      <c r="D163" s="88">
        <v>45071</v>
      </c>
      <c r="E163" t="s">
        <v>962</v>
      </c>
      <c r="F163" t="s">
        <v>550</v>
      </c>
      <c r="G163" t="s">
        <v>94</v>
      </c>
      <c r="H163" t="s">
        <v>544</v>
      </c>
      <c r="I163" t="s">
        <v>961</v>
      </c>
      <c r="J163" t="s">
        <v>36</v>
      </c>
      <c r="K163" t="s">
        <v>152</v>
      </c>
      <c r="L163">
        <v>3</v>
      </c>
      <c r="M163" t="s">
        <v>958</v>
      </c>
      <c r="N163" t="s">
        <v>1413</v>
      </c>
    </row>
    <row r="164" spans="1:14" x14ac:dyDescent="0.2">
      <c r="A164" t="str">
        <f t="shared" si="2"/>
        <v>2023-1-MIB-EM-LE-1-16S</v>
      </c>
      <c r="B164" t="s">
        <v>675</v>
      </c>
      <c r="C164" s="74" t="s">
        <v>342</v>
      </c>
      <c r="D164" s="88">
        <v>45071</v>
      </c>
      <c r="E164" t="s">
        <v>962</v>
      </c>
      <c r="F164" t="s">
        <v>550</v>
      </c>
      <c r="G164" t="s">
        <v>94</v>
      </c>
      <c r="H164" t="s">
        <v>544</v>
      </c>
      <c r="I164" t="s">
        <v>961</v>
      </c>
      <c r="J164" t="s">
        <v>45</v>
      </c>
      <c r="K164" t="s">
        <v>152</v>
      </c>
      <c r="L164">
        <v>1</v>
      </c>
      <c r="M164" t="s">
        <v>958</v>
      </c>
      <c r="N164" t="s">
        <v>1413</v>
      </c>
    </row>
    <row r="165" spans="1:14" x14ac:dyDescent="0.2">
      <c r="A165" t="str">
        <f t="shared" si="2"/>
        <v>2023-1-MIB-EM-LE-2-16S</v>
      </c>
      <c r="B165" t="s">
        <v>783</v>
      </c>
      <c r="C165" s="74" t="s">
        <v>343</v>
      </c>
      <c r="D165" s="88">
        <v>45071</v>
      </c>
      <c r="E165" t="s">
        <v>962</v>
      </c>
      <c r="F165" t="s">
        <v>550</v>
      </c>
      <c r="G165" t="s">
        <v>94</v>
      </c>
      <c r="H165" t="s">
        <v>544</v>
      </c>
      <c r="I165" t="s">
        <v>961</v>
      </c>
      <c r="J165" t="s">
        <v>45</v>
      </c>
      <c r="K165" t="s">
        <v>152</v>
      </c>
      <c r="L165">
        <v>2</v>
      </c>
      <c r="M165" t="s">
        <v>958</v>
      </c>
      <c r="N165" t="s">
        <v>1413</v>
      </c>
    </row>
    <row r="166" spans="1:14" x14ac:dyDescent="0.2">
      <c r="A166" t="str">
        <f t="shared" si="2"/>
        <v>2023-1-MIB-EM-LE-3-16S</v>
      </c>
      <c r="B166" t="s">
        <v>784</v>
      </c>
      <c r="C166" s="74" t="s">
        <v>344</v>
      </c>
      <c r="D166" s="88">
        <v>45071</v>
      </c>
      <c r="E166" t="s">
        <v>962</v>
      </c>
      <c r="F166" t="s">
        <v>550</v>
      </c>
      <c r="G166" t="s">
        <v>94</v>
      </c>
      <c r="H166" t="s">
        <v>544</v>
      </c>
      <c r="I166" t="s">
        <v>961</v>
      </c>
      <c r="J166" t="s">
        <v>45</v>
      </c>
      <c r="K166" t="s">
        <v>152</v>
      </c>
      <c r="L166">
        <v>3</v>
      </c>
      <c r="M166" t="s">
        <v>958</v>
      </c>
      <c r="N166" t="s">
        <v>1413</v>
      </c>
    </row>
    <row r="167" spans="1:14" x14ac:dyDescent="0.2">
      <c r="A167" t="str">
        <f t="shared" si="2"/>
        <v>2023-2-ASB-CL-LE-1-16S</v>
      </c>
      <c r="B167" t="s">
        <v>785</v>
      </c>
      <c r="C167" s="74" t="s">
        <v>345</v>
      </c>
      <c r="D167" s="88">
        <v>45126</v>
      </c>
      <c r="E167" t="s">
        <v>963</v>
      </c>
      <c r="F167" t="s">
        <v>551</v>
      </c>
      <c r="G167" t="s">
        <v>16</v>
      </c>
      <c r="H167" t="s">
        <v>548</v>
      </c>
      <c r="I167" t="s">
        <v>960</v>
      </c>
      <c r="J167" t="s">
        <v>43</v>
      </c>
      <c r="K167" t="s">
        <v>152</v>
      </c>
      <c r="L167">
        <v>1</v>
      </c>
      <c r="M167" t="s">
        <v>956</v>
      </c>
      <c r="N167" t="s">
        <v>1413</v>
      </c>
    </row>
    <row r="168" spans="1:14" x14ac:dyDescent="0.2">
      <c r="A168" t="str">
        <f t="shared" si="2"/>
        <v>2023-2-ASB-CL-LE-2-16S</v>
      </c>
      <c r="B168" t="s">
        <v>558</v>
      </c>
      <c r="C168" s="74" t="s">
        <v>346</v>
      </c>
      <c r="D168" s="88">
        <v>45126</v>
      </c>
      <c r="E168" t="s">
        <v>963</v>
      </c>
      <c r="F168" t="s">
        <v>551</v>
      </c>
      <c r="G168" t="s">
        <v>16</v>
      </c>
      <c r="H168" t="s">
        <v>548</v>
      </c>
      <c r="I168" t="s">
        <v>960</v>
      </c>
      <c r="J168" t="s">
        <v>43</v>
      </c>
      <c r="K168" t="s">
        <v>152</v>
      </c>
      <c r="L168">
        <v>2</v>
      </c>
      <c r="M168" t="s">
        <v>956</v>
      </c>
      <c r="N168" t="s">
        <v>1413</v>
      </c>
    </row>
    <row r="169" spans="1:14" x14ac:dyDescent="0.2">
      <c r="A169" t="str">
        <f t="shared" si="2"/>
        <v>2023-2-ASB-CL-LE-3-16S</v>
      </c>
      <c r="B169" t="s">
        <v>786</v>
      </c>
      <c r="C169" s="74" t="s">
        <v>347</v>
      </c>
      <c r="D169" s="88">
        <v>45126</v>
      </c>
      <c r="E169" t="s">
        <v>963</v>
      </c>
      <c r="F169" t="s">
        <v>551</v>
      </c>
      <c r="G169" t="s">
        <v>16</v>
      </c>
      <c r="H169" t="s">
        <v>548</v>
      </c>
      <c r="I169" t="s">
        <v>960</v>
      </c>
      <c r="J169" t="s">
        <v>43</v>
      </c>
      <c r="K169" t="s">
        <v>152</v>
      </c>
      <c r="L169">
        <v>3</v>
      </c>
      <c r="M169" t="s">
        <v>956</v>
      </c>
      <c r="N169" t="s">
        <v>1413</v>
      </c>
    </row>
    <row r="170" spans="1:14" x14ac:dyDescent="0.2">
      <c r="A170" t="str">
        <f t="shared" si="2"/>
        <v>2023-2-ASB-PR-LE-1-16S</v>
      </c>
      <c r="B170" t="s">
        <v>787</v>
      </c>
      <c r="C170" s="74" t="s">
        <v>348</v>
      </c>
      <c r="D170" s="88">
        <v>45126</v>
      </c>
      <c r="E170" t="s">
        <v>963</v>
      </c>
      <c r="F170" t="s">
        <v>551</v>
      </c>
      <c r="G170" t="s">
        <v>16</v>
      </c>
      <c r="H170" t="s">
        <v>548</v>
      </c>
      <c r="I170" t="s">
        <v>960</v>
      </c>
      <c r="J170" t="s">
        <v>74</v>
      </c>
      <c r="K170" t="s">
        <v>152</v>
      </c>
      <c r="L170">
        <v>1</v>
      </c>
      <c r="M170" t="s">
        <v>956</v>
      </c>
      <c r="N170" t="s">
        <v>1413</v>
      </c>
    </row>
    <row r="171" spans="1:14" x14ac:dyDescent="0.2">
      <c r="A171" t="str">
        <f t="shared" si="2"/>
        <v>2023-2-ASB-PR-LE-2-16S</v>
      </c>
      <c r="B171" t="s">
        <v>566</v>
      </c>
      <c r="C171" s="74" t="s">
        <v>349</v>
      </c>
      <c r="D171" s="88">
        <v>45126</v>
      </c>
      <c r="E171" t="s">
        <v>963</v>
      </c>
      <c r="F171" t="s">
        <v>551</v>
      </c>
      <c r="G171" t="s">
        <v>16</v>
      </c>
      <c r="H171" t="s">
        <v>548</v>
      </c>
      <c r="I171" t="s">
        <v>960</v>
      </c>
      <c r="J171" t="s">
        <v>74</v>
      </c>
      <c r="K171" t="s">
        <v>152</v>
      </c>
      <c r="L171">
        <v>2</v>
      </c>
      <c r="M171" t="s">
        <v>956</v>
      </c>
      <c r="N171" t="s">
        <v>1413</v>
      </c>
    </row>
    <row r="172" spans="1:14" x14ac:dyDescent="0.2">
      <c r="A172" t="str">
        <f t="shared" si="2"/>
        <v>2023-2-ASB-PR-LE-3-16S</v>
      </c>
      <c r="B172" t="s">
        <v>788</v>
      </c>
      <c r="C172" s="74" t="s">
        <v>350</v>
      </c>
      <c r="D172" s="88">
        <v>45126</v>
      </c>
      <c r="E172" t="s">
        <v>963</v>
      </c>
      <c r="F172" t="s">
        <v>551</v>
      </c>
      <c r="G172" t="s">
        <v>16</v>
      </c>
      <c r="H172" t="s">
        <v>548</v>
      </c>
      <c r="I172" t="s">
        <v>960</v>
      </c>
      <c r="J172" t="s">
        <v>74</v>
      </c>
      <c r="K172" t="s">
        <v>152</v>
      </c>
      <c r="L172">
        <v>3</v>
      </c>
      <c r="M172" t="s">
        <v>956</v>
      </c>
      <c r="N172" t="s">
        <v>1413</v>
      </c>
    </row>
    <row r="173" spans="1:14" x14ac:dyDescent="0.2">
      <c r="A173" t="str">
        <f t="shared" si="2"/>
        <v>2023-2-ASB-HC-LE-1-16S</v>
      </c>
      <c r="B173" t="s">
        <v>789</v>
      </c>
      <c r="C173" s="74" t="s">
        <v>351</v>
      </c>
      <c r="D173" s="88">
        <v>45126</v>
      </c>
      <c r="E173" t="s">
        <v>963</v>
      </c>
      <c r="F173" t="s">
        <v>551</v>
      </c>
      <c r="G173" t="s">
        <v>16</v>
      </c>
      <c r="H173" t="s">
        <v>548</v>
      </c>
      <c r="I173" t="s">
        <v>960</v>
      </c>
      <c r="J173" t="s">
        <v>51</v>
      </c>
      <c r="K173" t="s">
        <v>152</v>
      </c>
      <c r="L173">
        <v>1</v>
      </c>
      <c r="M173" t="s">
        <v>957</v>
      </c>
      <c r="N173" t="s">
        <v>1413</v>
      </c>
    </row>
    <row r="174" spans="1:14" x14ac:dyDescent="0.2">
      <c r="A174" t="str">
        <f t="shared" si="2"/>
        <v>2023-2-ASB-HC-LE-2-16S</v>
      </c>
      <c r="B174" t="s">
        <v>570</v>
      </c>
      <c r="C174" s="74" t="s">
        <v>352</v>
      </c>
      <c r="D174" s="88">
        <v>45126</v>
      </c>
      <c r="E174" t="s">
        <v>963</v>
      </c>
      <c r="F174" t="s">
        <v>551</v>
      </c>
      <c r="G174" t="s">
        <v>16</v>
      </c>
      <c r="H174" t="s">
        <v>548</v>
      </c>
      <c r="I174" t="s">
        <v>960</v>
      </c>
      <c r="J174" t="s">
        <v>51</v>
      </c>
      <c r="K174" t="s">
        <v>152</v>
      </c>
      <c r="L174">
        <v>2</v>
      </c>
      <c r="M174" t="s">
        <v>957</v>
      </c>
      <c r="N174" t="s">
        <v>1413</v>
      </c>
    </row>
    <row r="175" spans="1:14" x14ac:dyDescent="0.2">
      <c r="A175" t="str">
        <f t="shared" si="2"/>
        <v>2023-2-ASB-HC-LE-3-16S</v>
      </c>
      <c r="B175" t="s">
        <v>790</v>
      </c>
      <c r="C175" s="74" t="s">
        <v>353</v>
      </c>
      <c r="D175" s="88">
        <v>45126</v>
      </c>
      <c r="E175" t="s">
        <v>963</v>
      </c>
      <c r="F175" t="s">
        <v>551</v>
      </c>
      <c r="G175" t="s">
        <v>16</v>
      </c>
      <c r="H175" t="s">
        <v>548</v>
      </c>
      <c r="I175" t="s">
        <v>960</v>
      </c>
      <c r="J175" t="s">
        <v>51</v>
      </c>
      <c r="K175" t="s">
        <v>152</v>
      </c>
      <c r="L175">
        <v>3</v>
      </c>
      <c r="M175" t="s">
        <v>957</v>
      </c>
      <c r="N175" t="s">
        <v>1413</v>
      </c>
    </row>
    <row r="176" spans="1:14" x14ac:dyDescent="0.2">
      <c r="A176" t="str">
        <f t="shared" si="2"/>
        <v>2023-2-ASB-SP-LE-1-16S</v>
      </c>
      <c r="B176" t="s">
        <v>791</v>
      </c>
      <c r="C176" s="74" t="s">
        <v>354</v>
      </c>
      <c r="D176" s="88">
        <v>45126</v>
      </c>
      <c r="E176" t="s">
        <v>963</v>
      </c>
      <c r="F176" t="s">
        <v>551</v>
      </c>
      <c r="G176" t="s">
        <v>16</v>
      </c>
      <c r="H176" t="s">
        <v>548</v>
      </c>
      <c r="I176" t="s">
        <v>960</v>
      </c>
      <c r="J176" t="s">
        <v>60</v>
      </c>
      <c r="K176" t="s">
        <v>152</v>
      </c>
      <c r="L176">
        <v>1</v>
      </c>
      <c r="M176" t="s">
        <v>957</v>
      </c>
      <c r="N176" t="s">
        <v>1413</v>
      </c>
    </row>
    <row r="177" spans="1:14" x14ac:dyDescent="0.2">
      <c r="A177" t="str">
        <f t="shared" si="2"/>
        <v>2023-2-ASB-SP-LE-2-16S</v>
      </c>
      <c r="B177" t="s">
        <v>582</v>
      </c>
      <c r="C177" s="74" t="s">
        <v>355</v>
      </c>
      <c r="D177" s="88">
        <v>45126</v>
      </c>
      <c r="E177" t="s">
        <v>963</v>
      </c>
      <c r="F177" t="s">
        <v>551</v>
      </c>
      <c r="G177" t="s">
        <v>16</v>
      </c>
      <c r="H177" t="s">
        <v>548</v>
      </c>
      <c r="I177" t="s">
        <v>960</v>
      </c>
      <c r="J177" t="s">
        <v>60</v>
      </c>
      <c r="K177" t="s">
        <v>152</v>
      </c>
      <c r="L177">
        <v>2</v>
      </c>
      <c r="M177" t="s">
        <v>957</v>
      </c>
      <c r="N177" t="s">
        <v>1413</v>
      </c>
    </row>
    <row r="178" spans="1:14" x14ac:dyDescent="0.2">
      <c r="A178" t="str">
        <f t="shared" si="2"/>
        <v>2023-2-ASB-SP-LE-3-16S</v>
      </c>
      <c r="B178" t="s">
        <v>792</v>
      </c>
      <c r="C178" s="74" t="s">
        <v>356</v>
      </c>
      <c r="D178" s="88">
        <v>45126</v>
      </c>
      <c r="E178" t="s">
        <v>963</v>
      </c>
      <c r="F178" t="s">
        <v>551</v>
      </c>
      <c r="G178" t="s">
        <v>16</v>
      </c>
      <c r="H178" t="s">
        <v>548</v>
      </c>
      <c r="I178" t="s">
        <v>960</v>
      </c>
      <c r="J178" t="s">
        <v>60</v>
      </c>
      <c r="K178" t="s">
        <v>152</v>
      </c>
      <c r="L178">
        <v>3</v>
      </c>
      <c r="M178" t="s">
        <v>957</v>
      </c>
      <c r="N178" t="s">
        <v>1413</v>
      </c>
    </row>
    <row r="179" spans="1:14" x14ac:dyDescent="0.2">
      <c r="A179" t="str">
        <f t="shared" si="2"/>
        <v>2023-2-ASB-LI-LE-1-16S</v>
      </c>
      <c r="B179" t="s">
        <v>793</v>
      </c>
      <c r="C179" s="74" t="s">
        <v>357</v>
      </c>
      <c r="D179" s="88">
        <v>45126</v>
      </c>
      <c r="E179" t="s">
        <v>963</v>
      </c>
      <c r="F179" t="s">
        <v>551</v>
      </c>
      <c r="G179" t="s">
        <v>16</v>
      </c>
      <c r="H179" t="s">
        <v>548</v>
      </c>
      <c r="I179" t="s">
        <v>960</v>
      </c>
      <c r="J179" t="s">
        <v>36</v>
      </c>
      <c r="K179" t="s">
        <v>152</v>
      </c>
      <c r="L179">
        <v>1</v>
      </c>
      <c r="M179" t="s">
        <v>958</v>
      </c>
      <c r="N179" t="s">
        <v>1413</v>
      </c>
    </row>
    <row r="180" spans="1:14" x14ac:dyDescent="0.2">
      <c r="A180" t="str">
        <f t="shared" si="2"/>
        <v>2023-2-ASB-LI-LE-2-16S</v>
      </c>
      <c r="B180" t="s">
        <v>586</v>
      </c>
      <c r="C180" s="74" t="s">
        <v>358</v>
      </c>
      <c r="D180" s="88">
        <v>45126</v>
      </c>
      <c r="E180" t="s">
        <v>963</v>
      </c>
      <c r="F180" t="s">
        <v>551</v>
      </c>
      <c r="G180" t="s">
        <v>16</v>
      </c>
      <c r="H180" t="s">
        <v>548</v>
      </c>
      <c r="I180" t="s">
        <v>960</v>
      </c>
      <c r="J180" t="s">
        <v>36</v>
      </c>
      <c r="K180" t="s">
        <v>152</v>
      </c>
      <c r="L180">
        <v>2</v>
      </c>
      <c r="M180" t="s">
        <v>958</v>
      </c>
      <c r="N180" t="s">
        <v>1413</v>
      </c>
    </row>
    <row r="181" spans="1:14" x14ac:dyDescent="0.2">
      <c r="A181" t="str">
        <f t="shared" si="2"/>
        <v>2023-2-ASB-LI-LE-3-16S</v>
      </c>
      <c r="B181" t="s">
        <v>794</v>
      </c>
      <c r="C181" s="74" t="s">
        <v>359</v>
      </c>
      <c r="D181" s="88">
        <v>45126</v>
      </c>
      <c r="E181" t="s">
        <v>963</v>
      </c>
      <c r="F181" t="s">
        <v>551</v>
      </c>
      <c r="G181" t="s">
        <v>16</v>
      </c>
      <c r="H181" t="s">
        <v>548</v>
      </c>
      <c r="I181" t="s">
        <v>960</v>
      </c>
      <c r="J181" t="s">
        <v>36</v>
      </c>
      <c r="K181" t="s">
        <v>152</v>
      </c>
      <c r="L181">
        <v>3</v>
      </c>
      <c r="M181" t="s">
        <v>958</v>
      </c>
      <c r="N181" t="s">
        <v>1413</v>
      </c>
    </row>
    <row r="182" spans="1:14" x14ac:dyDescent="0.2">
      <c r="A182" t="str">
        <f t="shared" si="2"/>
        <v>2023-2-ASB-EM-LE-1-16S</v>
      </c>
      <c r="B182" t="s">
        <v>795</v>
      </c>
      <c r="C182" s="74" t="s">
        <v>360</v>
      </c>
      <c r="D182" s="88">
        <v>45126</v>
      </c>
      <c r="E182" t="s">
        <v>963</v>
      </c>
      <c r="F182" t="s">
        <v>551</v>
      </c>
      <c r="G182" t="s">
        <v>16</v>
      </c>
      <c r="H182" t="s">
        <v>548</v>
      </c>
      <c r="I182" t="s">
        <v>960</v>
      </c>
      <c r="J182" t="s">
        <v>45</v>
      </c>
      <c r="K182" t="s">
        <v>152</v>
      </c>
      <c r="L182">
        <v>1</v>
      </c>
      <c r="M182" t="s">
        <v>958</v>
      </c>
      <c r="N182" t="s">
        <v>1413</v>
      </c>
    </row>
    <row r="183" spans="1:14" x14ac:dyDescent="0.2">
      <c r="A183" t="str">
        <f t="shared" si="2"/>
        <v>2023-2-ASB-EM-LE-2-16S</v>
      </c>
      <c r="B183" t="s">
        <v>590</v>
      </c>
      <c r="C183" s="74" t="s">
        <v>361</v>
      </c>
      <c r="D183" s="88">
        <v>45126</v>
      </c>
      <c r="E183" t="s">
        <v>963</v>
      </c>
      <c r="F183" t="s">
        <v>551</v>
      </c>
      <c r="G183" t="s">
        <v>16</v>
      </c>
      <c r="H183" t="s">
        <v>548</v>
      </c>
      <c r="I183" t="s">
        <v>960</v>
      </c>
      <c r="J183" t="s">
        <v>45</v>
      </c>
      <c r="K183" t="s">
        <v>152</v>
      </c>
      <c r="L183">
        <v>2</v>
      </c>
      <c r="M183" t="s">
        <v>958</v>
      </c>
      <c r="N183" t="s">
        <v>1413</v>
      </c>
    </row>
    <row r="184" spans="1:14" x14ac:dyDescent="0.2">
      <c r="A184" t="str">
        <f t="shared" si="2"/>
        <v>2023-2-ASB-EM-LE-3-16S</v>
      </c>
      <c r="B184" t="s">
        <v>796</v>
      </c>
      <c r="C184" s="74" t="s">
        <v>362</v>
      </c>
      <c r="D184" s="88">
        <v>45126</v>
      </c>
      <c r="E184" t="s">
        <v>963</v>
      </c>
      <c r="F184" t="s">
        <v>551</v>
      </c>
      <c r="G184" t="s">
        <v>16</v>
      </c>
      <c r="H184" t="s">
        <v>548</v>
      </c>
      <c r="I184" t="s">
        <v>960</v>
      </c>
      <c r="J184" t="s">
        <v>45</v>
      </c>
      <c r="K184" t="s">
        <v>152</v>
      </c>
      <c r="L184">
        <v>3</v>
      </c>
      <c r="M184" t="s">
        <v>958</v>
      </c>
      <c r="N184" t="s">
        <v>1413</v>
      </c>
    </row>
    <row r="185" spans="1:14" x14ac:dyDescent="0.2">
      <c r="A185" t="str">
        <f t="shared" si="2"/>
        <v>2023-2-PMB-CL-LE-1-16S</v>
      </c>
      <c r="B185" t="s">
        <v>797</v>
      </c>
      <c r="C185" s="74" t="s">
        <v>363</v>
      </c>
      <c r="D185" s="88">
        <v>45124</v>
      </c>
      <c r="E185" t="s">
        <v>963</v>
      </c>
      <c r="F185" t="s">
        <v>8</v>
      </c>
      <c r="G185" t="s">
        <v>9</v>
      </c>
      <c r="H185" t="s">
        <v>545</v>
      </c>
      <c r="I185" t="s">
        <v>960</v>
      </c>
      <c r="J185" t="s">
        <v>43</v>
      </c>
      <c r="K185" t="s">
        <v>152</v>
      </c>
      <c r="L185">
        <v>1</v>
      </c>
      <c r="M185" t="s">
        <v>956</v>
      </c>
      <c r="N185" t="s">
        <v>1413</v>
      </c>
    </row>
    <row r="186" spans="1:14" x14ac:dyDescent="0.2">
      <c r="A186" t="str">
        <f t="shared" si="2"/>
        <v>2023-2-PMB-CL-LE-2-16S</v>
      </c>
      <c r="B186" t="s">
        <v>606</v>
      </c>
      <c r="C186" s="74" t="s">
        <v>364</v>
      </c>
      <c r="D186" s="88">
        <v>45124</v>
      </c>
      <c r="E186" t="s">
        <v>963</v>
      </c>
      <c r="F186" t="s">
        <v>8</v>
      </c>
      <c r="G186" t="s">
        <v>9</v>
      </c>
      <c r="H186" t="s">
        <v>545</v>
      </c>
      <c r="I186" t="s">
        <v>960</v>
      </c>
      <c r="J186" t="s">
        <v>43</v>
      </c>
      <c r="K186" t="s">
        <v>152</v>
      </c>
      <c r="L186">
        <v>2</v>
      </c>
      <c r="M186" t="s">
        <v>956</v>
      </c>
      <c r="N186" t="s">
        <v>1413</v>
      </c>
    </row>
    <row r="187" spans="1:14" x14ac:dyDescent="0.2">
      <c r="A187" t="str">
        <f t="shared" si="2"/>
        <v>2023-2-PMB-CL-LE-3-16S</v>
      </c>
      <c r="B187" t="s">
        <v>798</v>
      </c>
      <c r="C187" s="74" t="s">
        <v>365</v>
      </c>
      <c r="D187" s="88">
        <v>45124</v>
      </c>
      <c r="E187" t="s">
        <v>963</v>
      </c>
      <c r="F187" t="s">
        <v>8</v>
      </c>
      <c r="G187" t="s">
        <v>9</v>
      </c>
      <c r="H187" t="s">
        <v>545</v>
      </c>
      <c r="I187" t="s">
        <v>960</v>
      </c>
      <c r="J187" t="s">
        <v>43</v>
      </c>
      <c r="K187" t="s">
        <v>152</v>
      </c>
      <c r="L187">
        <v>3</v>
      </c>
      <c r="M187" t="s">
        <v>956</v>
      </c>
      <c r="N187" t="s">
        <v>1413</v>
      </c>
    </row>
    <row r="188" spans="1:14" x14ac:dyDescent="0.2">
      <c r="A188" t="str">
        <f t="shared" si="2"/>
        <v>2023-2-PMB-PR-LE-1-16S</v>
      </c>
      <c r="B188" t="s">
        <v>799</v>
      </c>
      <c r="C188" s="74" t="s">
        <v>366</v>
      </c>
      <c r="D188" s="88">
        <v>45124</v>
      </c>
      <c r="E188" t="s">
        <v>963</v>
      </c>
      <c r="F188" t="s">
        <v>8</v>
      </c>
      <c r="G188" t="s">
        <v>9</v>
      </c>
      <c r="H188" t="s">
        <v>545</v>
      </c>
      <c r="I188" t="s">
        <v>960</v>
      </c>
      <c r="J188" t="s">
        <v>74</v>
      </c>
      <c r="K188" t="s">
        <v>152</v>
      </c>
      <c r="L188">
        <v>1</v>
      </c>
      <c r="M188" t="s">
        <v>956</v>
      </c>
      <c r="N188" t="s">
        <v>1413</v>
      </c>
    </row>
    <row r="189" spans="1:14" x14ac:dyDescent="0.2">
      <c r="A189" t="str">
        <f t="shared" si="2"/>
        <v>2023-2-PMB-PR-LE-2-16S</v>
      </c>
      <c r="B189" t="s">
        <v>613</v>
      </c>
      <c r="C189" s="74" t="s">
        <v>367</v>
      </c>
      <c r="D189" s="88">
        <v>45124</v>
      </c>
      <c r="E189" t="s">
        <v>963</v>
      </c>
      <c r="F189" t="s">
        <v>8</v>
      </c>
      <c r="G189" t="s">
        <v>9</v>
      </c>
      <c r="H189" t="s">
        <v>545</v>
      </c>
      <c r="I189" t="s">
        <v>960</v>
      </c>
      <c r="J189" t="s">
        <v>74</v>
      </c>
      <c r="K189" t="s">
        <v>152</v>
      </c>
      <c r="L189">
        <v>2</v>
      </c>
      <c r="M189" t="s">
        <v>956</v>
      </c>
      <c r="N189" t="s">
        <v>1413</v>
      </c>
    </row>
    <row r="190" spans="1:14" x14ac:dyDescent="0.2">
      <c r="A190" t="str">
        <f t="shared" si="2"/>
        <v>2023-2-PMB-PR-LE-3-16S</v>
      </c>
      <c r="B190" t="s">
        <v>800</v>
      </c>
      <c r="C190" s="74" t="s">
        <v>368</v>
      </c>
      <c r="D190" s="88">
        <v>45124</v>
      </c>
      <c r="E190" t="s">
        <v>963</v>
      </c>
      <c r="F190" t="s">
        <v>8</v>
      </c>
      <c r="G190" t="s">
        <v>9</v>
      </c>
      <c r="H190" t="s">
        <v>545</v>
      </c>
      <c r="I190" t="s">
        <v>960</v>
      </c>
      <c r="J190" t="s">
        <v>74</v>
      </c>
      <c r="K190" t="s">
        <v>152</v>
      </c>
      <c r="L190">
        <v>3</v>
      </c>
      <c r="M190" t="s">
        <v>956</v>
      </c>
      <c r="N190" t="s">
        <v>1413</v>
      </c>
    </row>
    <row r="191" spans="1:14" x14ac:dyDescent="0.2">
      <c r="A191" t="str">
        <f t="shared" si="2"/>
        <v>2023-2-PMB-HC-LE-1-16S</v>
      </c>
      <c r="B191" t="s">
        <v>801</v>
      </c>
      <c r="C191" s="74" t="s">
        <v>369</v>
      </c>
      <c r="D191" s="88">
        <v>45124</v>
      </c>
      <c r="E191" t="s">
        <v>963</v>
      </c>
      <c r="F191" t="s">
        <v>8</v>
      </c>
      <c r="G191" t="s">
        <v>9</v>
      </c>
      <c r="H191" t="s">
        <v>545</v>
      </c>
      <c r="I191" t="s">
        <v>960</v>
      </c>
      <c r="J191" t="s">
        <v>51</v>
      </c>
      <c r="K191" t="s">
        <v>152</v>
      </c>
      <c r="L191">
        <v>1</v>
      </c>
      <c r="M191" t="s">
        <v>957</v>
      </c>
      <c r="N191" t="s">
        <v>1413</v>
      </c>
    </row>
    <row r="192" spans="1:14" x14ac:dyDescent="0.2">
      <c r="A192" t="str">
        <f t="shared" si="2"/>
        <v>2023-2-PMB-HC-LE-2-16S</v>
      </c>
      <c r="B192" t="s">
        <v>622</v>
      </c>
      <c r="C192" s="74" t="s">
        <v>370</v>
      </c>
      <c r="D192" s="88">
        <v>45124</v>
      </c>
      <c r="E192" t="s">
        <v>963</v>
      </c>
      <c r="F192" t="s">
        <v>8</v>
      </c>
      <c r="G192" t="s">
        <v>9</v>
      </c>
      <c r="H192" t="s">
        <v>545</v>
      </c>
      <c r="I192" t="s">
        <v>960</v>
      </c>
      <c r="J192" t="s">
        <v>51</v>
      </c>
      <c r="K192" t="s">
        <v>152</v>
      </c>
      <c r="L192">
        <v>2</v>
      </c>
      <c r="M192" t="s">
        <v>957</v>
      </c>
      <c r="N192" t="s">
        <v>1413</v>
      </c>
    </row>
    <row r="193" spans="1:14" x14ac:dyDescent="0.2">
      <c r="A193" t="str">
        <f t="shared" si="2"/>
        <v>2023-2-PMB-HC-LE-3-16S</v>
      </c>
      <c r="B193" t="s">
        <v>802</v>
      </c>
      <c r="C193" s="74" t="s">
        <v>371</v>
      </c>
      <c r="D193" s="88">
        <v>45124</v>
      </c>
      <c r="E193" t="s">
        <v>963</v>
      </c>
      <c r="F193" t="s">
        <v>8</v>
      </c>
      <c r="G193" t="s">
        <v>9</v>
      </c>
      <c r="H193" t="s">
        <v>545</v>
      </c>
      <c r="I193" t="s">
        <v>960</v>
      </c>
      <c r="J193" t="s">
        <v>51</v>
      </c>
      <c r="K193" t="s">
        <v>152</v>
      </c>
      <c r="L193">
        <v>3</v>
      </c>
      <c r="M193" t="s">
        <v>957</v>
      </c>
      <c r="N193" t="s">
        <v>1413</v>
      </c>
    </row>
    <row r="194" spans="1:14" x14ac:dyDescent="0.2">
      <c r="A194" t="str">
        <f t="shared" si="2"/>
        <v>2023-2-PMB-SP-LE-1-16S</v>
      </c>
      <c r="B194" t="s">
        <v>803</v>
      </c>
      <c r="C194" s="74" t="s">
        <v>372</v>
      </c>
      <c r="D194" s="88">
        <v>45124</v>
      </c>
      <c r="E194" t="s">
        <v>963</v>
      </c>
      <c r="F194" t="s">
        <v>8</v>
      </c>
      <c r="G194" t="s">
        <v>9</v>
      </c>
      <c r="H194" t="s">
        <v>545</v>
      </c>
      <c r="I194" t="s">
        <v>960</v>
      </c>
      <c r="J194" t="s">
        <v>60</v>
      </c>
      <c r="K194" t="s">
        <v>152</v>
      </c>
      <c r="L194">
        <v>1</v>
      </c>
      <c r="M194" t="s">
        <v>957</v>
      </c>
      <c r="N194" t="s">
        <v>1413</v>
      </c>
    </row>
    <row r="195" spans="1:14" x14ac:dyDescent="0.2">
      <c r="A195" t="str">
        <f t="shared" ref="A195:A258" si="3">"2023-"&amp;B195&amp;"-16S"</f>
        <v>2023-2-PMB-SP-LE-2-16S</v>
      </c>
      <c r="B195" t="s">
        <v>630</v>
      </c>
      <c r="C195" s="74" t="s">
        <v>373</v>
      </c>
      <c r="D195" s="88">
        <v>45124</v>
      </c>
      <c r="E195" t="s">
        <v>963</v>
      </c>
      <c r="F195" t="s">
        <v>8</v>
      </c>
      <c r="G195" t="s">
        <v>9</v>
      </c>
      <c r="H195" t="s">
        <v>545</v>
      </c>
      <c r="I195" t="s">
        <v>960</v>
      </c>
      <c r="J195" t="s">
        <v>60</v>
      </c>
      <c r="K195" t="s">
        <v>152</v>
      </c>
      <c r="L195">
        <v>2</v>
      </c>
      <c r="M195" t="s">
        <v>957</v>
      </c>
      <c r="N195" t="s">
        <v>1413</v>
      </c>
    </row>
    <row r="196" spans="1:14" x14ac:dyDescent="0.2">
      <c r="A196" t="str">
        <f t="shared" si="3"/>
        <v>2023-2-PMB-SP-LE-3-16S</v>
      </c>
      <c r="B196" t="s">
        <v>804</v>
      </c>
      <c r="C196" s="74" t="s">
        <v>374</v>
      </c>
      <c r="D196" s="88">
        <v>45124</v>
      </c>
      <c r="E196" t="s">
        <v>963</v>
      </c>
      <c r="F196" t="s">
        <v>8</v>
      </c>
      <c r="G196" t="s">
        <v>9</v>
      </c>
      <c r="H196" t="s">
        <v>545</v>
      </c>
      <c r="I196" t="s">
        <v>960</v>
      </c>
      <c r="J196" t="s">
        <v>60</v>
      </c>
      <c r="K196" t="s">
        <v>152</v>
      </c>
      <c r="L196">
        <v>3</v>
      </c>
      <c r="M196" t="s">
        <v>957</v>
      </c>
      <c r="N196" t="s">
        <v>1413</v>
      </c>
    </row>
    <row r="197" spans="1:14" x14ac:dyDescent="0.2">
      <c r="A197" t="str">
        <f t="shared" si="3"/>
        <v>2023-2-PMB-LI-LE-1-16S</v>
      </c>
      <c r="B197" t="s">
        <v>805</v>
      </c>
      <c r="C197" s="74" t="s">
        <v>375</v>
      </c>
      <c r="D197" s="88">
        <v>45124</v>
      </c>
      <c r="E197" t="s">
        <v>963</v>
      </c>
      <c r="F197" t="s">
        <v>8</v>
      </c>
      <c r="G197" t="s">
        <v>9</v>
      </c>
      <c r="H197" t="s">
        <v>545</v>
      </c>
      <c r="I197" t="s">
        <v>960</v>
      </c>
      <c r="J197" t="s">
        <v>36</v>
      </c>
      <c r="K197" t="s">
        <v>152</v>
      </c>
      <c r="L197">
        <v>1</v>
      </c>
      <c r="M197" t="s">
        <v>958</v>
      </c>
      <c r="N197" t="s">
        <v>1413</v>
      </c>
    </row>
    <row r="198" spans="1:14" x14ac:dyDescent="0.2">
      <c r="A198" t="str">
        <f t="shared" si="3"/>
        <v>2023-2-PMB-LI-LE-2-16S</v>
      </c>
      <c r="B198" t="s">
        <v>634</v>
      </c>
      <c r="C198" s="74" t="s">
        <v>376</v>
      </c>
      <c r="D198" s="88">
        <v>45124</v>
      </c>
      <c r="E198" t="s">
        <v>963</v>
      </c>
      <c r="F198" t="s">
        <v>8</v>
      </c>
      <c r="G198" t="s">
        <v>9</v>
      </c>
      <c r="H198" t="s">
        <v>545</v>
      </c>
      <c r="I198" t="s">
        <v>960</v>
      </c>
      <c r="J198" t="s">
        <v>36</v>
      </c>
      <c r="K198" t="s">
        <v>152</v>
      </c>
      <c r="L198">
        <v>2</v>
      </c>
      <c r="M198" t="s">
        <v>958</v>
      </c>
      <c r="N198" t="s">
        <v>1413</v>
      </c>
    </row>
    <row r="199" spans="1:14" x14ac:dyDescent="0.2">
      <c r="A199" t="str">
        <f t="shared" si="3"/>
        <v>2023-2-PMB-LI-LE-3-16S</v>
      </c>
      <c r="B199" t="s">
        <v>806</v>
      </c>
      <c r="C199" s="74" t="s">
        <v>377</v>
      </c>
      <c r="D199" s="88">
        <v>45124</v>
      </c>
      <c r="E199" t="s">
        <v>963</v>
      </c>
      <c r="F199" t="s">
        <v>8</v>
      </c>
      <c r="G199" t="s">
        <v>9</v>
      </c>
      <c r="H199" t="s">
        <v>545</v>
      </c>
      <c r="I199" t="s">
        <v>960</v>
      </c>
      <c r="J199" t="s">
        <v>36</v>
      </c>
      <c r="K199" t="s">
        <v>152</v>
      </c>
      <c r="L199">
        <v>3</v>
      </c>
      <c r="M199" t="s">
        <v>958</v>
      </c>
      <c r="N199" t="s">
        <v>1413</v>
      </c>
    </row>
    <row r="200" spans="1:14" x14ac:dyDescent="0.2">
      <c r="A200" t="str">
        <f t="shared" si="3"/>
        <v>2023-2-PMB-EM-LE-1-16S</v>
      </c>
      <c r="B200" t="s">
        <v>807</v>
      </c>
      <c r="C200" s="74" t="s">
        <v>378</v>
      </c>
      <c r="D200" s="88">
        <v>45124</v>
      </c>
      <c r="E200" t="s">
        <v>963</v>
      </c>
      <c r="F200" t="s">
        <v>8</v>
      </c>
      <c r="G200" t="s">
        <v>9</v>
      </c>
      <c r="H200" t="s">
        <v>545</v>
      </c>
      <c r="I200" t="s">
        <v>960</v>
      </c>
      <c r="J200" t="s">
        <v>45</v>
      </c>
      <c r="K200" t="s">
        <v>152</v>
      </c>
      <c r="L200">
        <v>1</v>
      </c>
      <c r="M200" t="s">
        <v>958</v>
      </c>
      <c r="N200" t="s">
        <v>1413</v>
      </c>
    </row>
    <row r="201" spans="1:14" x14ac:dyDescent="0.2">
      <c r="A201" t="str">
        <f t="shared" si="3"/>
        <v>2023-2-PMB-EM-LE-2-16S</v>
      </c>
      <c r="B201" t="s">
        <v>638</v>
      </c>
      <c r="C201" s="74" t="s">
        <v>379</v>
      </c>
      <c r="D201" s="88">
        <v>45124</v>
      </c>
      <c r="E201" t="s">
        <v>963</v>
      </c>
      <c r="F201" t="s">
        <v>8</v>
      </c>
      <c r="G201" t="s">
        <v>9</v>
      </c>
      <c r="H201" t="s">
        <v>545</v>
      </c>
      <c r="I201" t="s">
        <v>960</v>
      </c>
      <c r="J201" t="s">
        <v>45</v>
      </c>
      <c r="K201" t="s">
        <v>152</v>
      </c>
      <c r="L201">
        <v>2</v>
      </c>
      <c r="M201" t="s">
        <v>958</v>
      </c>
      <c r="N201" t="s">
        <v>1413</v>
      </c>
    </row>
    <row r="202" spans="1:14" x14ac:dyDescent="0.2">
      <c r="A202" t="str">
        <f t="shared" si="3"/>
        <v>2023-2-PMB-EM-LE-3-16S</v>
      </c>
      <c r="B202" t="s">
        <v>808</v>
      </c>
      <c r="C202" s="74" t="s">
        <v>380</v>
      </c>
      <c r="D202" s="88">
        <v>45124</v>
      </c>
      <c r="E202" t="s">
        <v>963</v>
      </c>
      <c r="F202" t="s">
        <v>8</v>
      </c>
      <c r="G202" t="s">
        <v>9</v>
      </c>
      <c r="H202" t="s">
        <v>545</v>
      </c>
      <c r="I202" t="s">
        <v>960</v>
      </c>
      <c r="J202" t="s">
        <v>45</v>
      </c>
      <c r="K202" t="s">
        <v>152</v>
      </c>
      <c r="L202">
        <v>3</v>
      </c>
      <c r="M202" t="s">
        <v>958</v>
      </c>
      <c r="N202" t="s">
        <v>1413</v>
      </c>
    </row>
    <row r="203" spans="1:14" x14ac:dyDescent="0.2">
      <c r="A203" t="str">
        <f t="shared" si="3"/>
        <v>2023-2-PMB-SR-LE-1-16S</v>
      </c>
      <c r="B203" t="s">
        <v>811</v>
      </c>
      <c r="C203" s="74" t="s">
        <v>381</v>
      </c>
      <c r="D203" s="88">
        <v>45124</v>
      </c>
      <c r="E203" t="s">
        <v>963</v>
      </c>
      <c r="F203" t="s">
        <v>8</v>
      </c>
      <c r="G203" t="s">
        <v>9</v>
      </c>
      <c r="H203" t="s">
        <v>545</v>
      </c>
      <c r="I203" t="s">
        <v>960</v>
      </c>
      <c r="J203" t="s">
        <v>62</v>
      </c>
      <c r="K203" t="s">
        <v>152</v>
      </c>
      <c r="L203">
        <v>1</v>
      </c>
      <c r="M203" t="s">
        <v>957</v>
      </c>
      <c r="N203" t="s">
        <v>1413</v>
      </c>
    </row>
    <row r="204" spans="1:14" x14ac:dyDescent="0.2">
      <c r="A204" t="str">
        <f t="shared" si="3"/>
        <v>2023-2-PMB-SR-LE-2-16S</v>
      </c>
      <c r="B204" t="s">
        <v>694</v>
      </c>
      <c r="C204" s="74" t="s">
        <v>382</v>
      </c>
      <c r="D204" s="88">
        <v>45124</v>
      </c>
      <c r="E204" t="s">
        <v>963</v>
      </c>
      <c r="F204" t="s">
        <v>8</v>
      </c>
      <c r="G204" t="s">
        <v>9</v>
      </c>
      <c r="H204" t="s">
        <v>545</v>
      </c>
      <c r="I204" t="s">
        <v>960</v>
      </c>
      <c r="J204" t="s">
        <v>62</v>
      </c>
      <c r="K204" t="s">
        <v>152</v>
      </c>
      <c r="L204">
        <v>2</v>
      </c>
      <c r="M204" t="s">
        <v>957</v>
      </c>
      <c r="N204" t="s">
        <v>1413</v>
      </c>
    </row>
    <row r="205" spans="1:14" x14ac:dyDescent="0.2">
      <c r="A205" t="str">
        <f t="shared" si="3"/>
        <v>2023-2-PMB-SR-LE-3-16S</v>
      </c>
      <c r="B205" t="s">
        <v>812</v>
      </c>
      <c r="C205" s="74" t="s">
        <v>383</v>
      </c>
      <c r="D205" s="88">
        <v>45124</v>
      </c>
      <c r="E205" t="s">
        <v>963</v>
      </c>
      <c r="F205" t="s">
        <v>8</v>
      </c>
      <c r="G205" t="s">
        <v>9</v>
      </c>
      <c r="H205" t="s">
        <v>545</v>
      </c>
      <c r="I205" t="s">
        <v>960</v>
      </c>
      <c r="J205" t="s">
        <v>62</v>
      </c>
      <c r="K205" t="s">
        <v>152</v>
      </c>
      <c r="L205">
        <v>3</v>
      </c>
      <c r="M205" t="s">
        <v>957</v>
      </c>
      <c r="N205" t="s">
        <v>1413</v>
      </c>
    </row>
    <row r="206" spans="1:14" x14ac:dyDescent="0.2">
      <c r="A206" t="str">
        <f t="shared" si="3"/>
        <v>2023-2-COM-HC-LE-1-16S</v>
      </c>
      <c r="B206" t="s">
        <v>815</v>
      </c>
      <c r="C206" s="74" t="s">
        <v>384</v>
      </c>
      <c r="D206" s="88">
        <v>45124</v>
      </c>
      <c r="E206" t="s">
        <v>963</v>
      </c>
      <c r="F206" t="s">
        <v>90</v>
      </c>
      <c r="G206" t="s">
        <v>96</v>
      </c>
      <c r="H206" t="s">
        <v>546</v>
      </c>
      <c r="I206" t="s">
        <v>961</v>
      </c>
      <c r="J206" t="s">
        <v>51</v>
      </c>
      <c r="K206" t="s">
        <v>152</v>
      </c>
      <c r="L206">
        <v>1</v>
      </c>
      <c r="M206" t="s">
        <v>957</v>
      </c>
      <c r="N206" t="s">
        <v>1413</v>
      </c>
    </row>
    <row r="207" spans="1:14" x14ac:dyDescent="0.2">
      <c r="A207" t="str">
        <f t="shared" si="3"/>
        <v>2023-2-COM-HC-LE-2-16S</v>
      </c>
      <c r="B207" t="s">
        <v>705</v>
      </c>
      <c r="C207" s="74" t="s">
        <v>385</v>
      </c>
      <c r="D207" s="88">
        <v>45124</v>
      </c>
      <c r="E207" t="s">
        <v>963</v>
      </c>
      <c r="F207" t="s">
        <v>90</v>
      </c>
      <c r="G207" t="s">
        <v>96</v>
      </c>
      <c r="H207" t="s">
        <v>546</v>
      </c>
      <c r="I207" t="s">
        <v>961</v>
      </c>
      <c r="J207" t="s">
        <v>51</v>
      </c>
      <c r="K207" t="s">
        <v>152</v>
      </c>
      <c r="L207">
        <v>2</v>
      </c>
      <c r="M207" t="s">
        <v>957</v>
      </c>
      <c r="N207" t="s">
        <v>1413</v>
      </c>
    </row>
    <row r="208" spans="1:14" x14ac:dyDescent="0.2">
      <c r="A208" t="str">
        <f t="shared" si="3"/>
        <v>2023-2-COM-HC-LE-3-16S</v>
      </c>
      <c r="B208" t="s">
        <v>816</v>
      </c>
      <c r="C208" s="74" t="s">
        <v>386</v>
      </c>
      <c r="D208" s="88">
        <v>45124</v>
      </c>
      <c r="E208" t="s">
        <v>963</v>
      </c>
      <c r="F208" t="s">
        <v>90</v>
      </c>
      <c r="G208" t="s">
        <v>96</v>
      </c>
      <c r="H208" t="s">
        <v>546</v>
      </c>
      <c r="I208" t="s">
        <v>961</v>
      </c>
      <c r="J208" t="s">
        <v>51</v>
      </c>
      <c r="K208" t="s">
        <v>152</v>
      </c>
      <c r="L208">
        <v>3</v>
      </c>
      <c r="M208" t="s">
        <v>957</v>
      </c>
      <c r="N208" t="s">
        <v>1413</v>
      </c>
    </row>
    <row r="209" spans="1:14" x14ac:dyDescent="0.2">
      <c r="A209" t="str">
        <f t="shared" si="3"/>
        <v>2023-2-COM-SP-LE-1-16S</v>
      </c>
      <c r="B209" t="s">
        <v>690</v>
      </c>
      <c r="C209" s="74" t="s">
        <v>387</v>
      </c>
      <c r="D209" s="88">
        <v>45124</v>
      </c>
      <c r="E209" t="s">
        <v>963</v>
      </c>
      <c r="F209" t="s">
        <v>90</v>
      </c>
      <c r="G209" t="s">
        <v>96</v>
      </c>
      <c r="H209" t="s">
        <v>546</v>
      </c>
      <c r="I209" t="s">
        <v>961</v>
      </c>
      <c r="J209" t="s">
        <v>60</v>
      </c>
      <c r="K209" t="s">
        <v>152</v>
      </c>
      <c r="L209">
        <v>1</v>
      </c>
      <c r="M209" t="s">
        <v>957</v>
      </c>
      <c r="N209" t="s">
        <v>1413</v>
      </c>
    </row>
    <row r="210" spans="1:14" x14ac:dyDescent="0.2">
      <c r="A210" t="str">
        <f t="shared" si="3"/>
        <v>2023-2-COM-SP-LE-2-16S</v>
      </c>
      <c r="B210" t="s">
        <v>642</v>
      </c>
      <c r="C210" s="74" t="s">
        <v>388</v>
      </c>
      <c r="D210" s="88">
        <v>45124</v>
      </c>
      <c r="E210" t="s">
        <v>963</v>
      </c>
      <c r="F210" t="s">
        <v>90</v>
      </c>
      <c r="G210" t="s">
        <v>96</v>
      </c>
      <c r="H210" t="s">
        <v>546</v>
      </c>
      <c r="I210" t="s">
        <v>961</v>
      </c>
      <c r="J210" t="s">
        <v>60</v>
      </c>
      <c r="K210" t="s">
        <v>152</v>
      </c>
      <c r="L210">
        <v>2</v>
      </c>
      <c r="M210" t="s">
        <v>957</v>
      </c>
      <c r="N210" t="s">
        <v>1413</v>
      </c>
    </row>
    <row r="211" spans="1:14" x14ac:dyDescent="0.2">
      <c r="A211" t="str">
        <f t="shared" si="3"/>
        <v>2023-2-COM-SP-LE-3-16S</v>
      </c>
      <c r="B211" t="s">
        <v>691</v>
      </c>
      <c r="C211" s="74" t="s">
        <v>389</v>
      </c>
      <c r="D211" s="88">
        <v>45124</v>
      </c>
      <c r="E211" t="s">
        <v>963</v>
      </c>
      <c r="F211" t="s">
        <v>90</v>
      </c>
      <c r="G211" t="s">
        <v>96</v>
      </c>
      <c r="H211" t="s">
        <v>546</v>
      </c>
      <c r="I211" t="s">
        <v>961</v>
      </c>
      <c r="J211" t="s">
        <v>60</v>
      </c>
      <c r="K211" t="s">
        <v>152</v>
      </c>
      <c r="L211">
        <v>3</v>
      </c>
      <c r="M211" t="s">
        <v>957</v>
      </c>
      <c r="N211" t="s">
        <v>1413</v>
      </c>
    </row>
    <row r="212" spans="1:14" x14ac:dyDescent="0.2">
      <c r="A212" t="str">
        <f t="shared" si="3"/>
        <v>2023-2-COM-EM-LE-1-16S</v>
      </c>
      <c r="B212" t="s">
        <v>809</v>
      </c>
      <c r="C212" s="74" t="s">
        <v>390</v>
      </c>
      <c r="D212" s="88">
        <v>45124</v>
      </c>
      <c r="E212" t="s">
        <v>963</v>
      </c>
      <c r="F212" t="s">
        <v>90</v>
      </c>
      <c r="G212" t="s">
        <v>96</v>
      </c>
      <c r="H212" t="s">
        <v>546</v>
      </c>
      <c r="I212" t="s">
        <v>961</v>
      </c>
      <c r="J212" t="s">
        <v>45</v>
      </c>
      <c r="K212" t="s">
        <v>152</v>
      </c>
      <c r="L212">
        <v>1</v>
      </c>
      <c r="M212" t="s">
        <v>958</v>
      </c>
      <c r="N212" t="s">
        <v>1413</v>
      </c>
    </row>
    <row r="213" spans="1:14" x14ac:dyDescent="0.2">
      <c r="A213" t="str">
        <f t="shared" si="3"/>
        <v>2023-2-COM-EM-LE-2-16S</v>
      </c>
      <c r="B213" t="s">
        <v>646</v>
      </c>
      <c r="C213" s="74" t="s">
        <v>391</v>
      </c>
      <c r="D213" s="88">
        <v>45124</v>
      </c>
      <c r="E213" t="s">
        <v>963</v>
      </c>
      <c r="F213" t="s">
        <v>90</v>
      </c>
      <c r="G213" t="s">
        <v>96</v>
      </c>
      <c r="H213" t="s">
        <v>546</v>
      </c>
      <c r="I213" t="s">
        <v>961</v>
      </c>
      <c r="J213" t="s">
        <v>45</v>
      </c>
      <c r="K213" t="s">
        <v>152</v>
      </c>
      <c r="L213">
        <v>2</v>
      </c>
      <c r="M213" t="s">
        <v>958</v>
      </c>
      <c r="N213" t="s">
        <v>1413</v>
      </c>
    </row>
    <row r="214" spans="1:14" x14ac:dyDescent="0.2">
      <c r="A214" t="str">
        <f t="shared" si="3"/>
        <v>2023-2-COM-EM-LE-3-16S</v>
      </c>
      <c r="B214" t="s">
        <v>810</v>
      </c>
      <c r="C214" s="74" t="s">
        <v>392</v>
      </c>
      <c r="D214" s="88">
        <v>45124</v>
      </c>
      <c r="E214" t="s">
        <v>963</v>
      </c>
      <c r="F214" t="s">
        <v>90</v>
      </c>
      <c r="G214" t="s">
        <v>96</v>
      </c>
      <c r="H214" t="s">
        <v>546</v>
      </c>
      <c r="I214" t="s">
        <v>961</v>
      </c>
      <c r="J214" t="s">
        <v>45</v>
      </c>
      <c r="K214" t="s">
        <v>152</v>
      </c>
      <c r="L214">
        <v>3</v>
      </c>
      <c r="M214" t="s">
        <v>958</v>
      </c>
      <c r="N214" t="s">
        <v>1413</v>
      </c>
    </row>
    <row r="215" spans="1:14" x14ac:dyDescent="0.2">
      <c r="A215" t="str">
        <f t="shared" si="3"/>
        <v>2023-2-COM-SR-LE-1-16S</v>
      </c>
      <c r="B215" t="s">
        <v>813</v>
      </c>
      <c r="C215" s="74" t="s">
        <v>393</v>
      </c>
      <c r="D215" s="88">
        <v>45124</v>
      </c>
      <c r="E215" t="s">
        <v>963</v>
      </c>
      <c r="F215" t="s">
        <v>90</v>
      </c>
      <c r="G215" t="s">
        <v>96</v>
      </c>
      <c r="H215" t="s">
        <v>546</v>
      </c>
      <c r="I215" t="s">
        <v>961</v>
      </c>
      <c r="J215" t="s">
        <v>62</v>
      </c>
      <c r="K215" t="s">
        <v>152</v>
      </c>
      <c r="L215">
        <v>1</v>
      </c>
      <c r="M215" t="s">
        <v>957</v>
      </c>
      <c r="N215" t="s">
        <v>1413</v>
      </c>
    </row>
    <row r="216" spans="1:14" x14ac:dyDescent="0.2">
      <c r="A216" t="str">
        <f t="shared" si="3"/>
        <v>2023-2-COM-SR-LE-2-16S</v>
      </c>
      <c r="B216" t="s">
        <v>698</v>
      </c>
      <c r="C216" s="74" t="s">
        <v>394</v>
      </c>
      <c r="D216" s="88">
        <v>45124</v>
      </c>
      <c r="E216" t="s">
        <v>963</v>
      </c>
      <c r="F216" t="s">
        <v>90</v>
      </c>
      <c r="G216" t="s">
        <v>96</v>
      </c>
      <c r="H216" t="s">
        <v>546</v>
      </c>
      <c r="I216" t="s">
        <v>961</v>
      </c>
      <c r="J216" t="s">
        <v>62</v>
      </c>
      <c r="K216" t="s">
        <v>152</v>
      </c>
      <c r="L216">
        <v>2</v>
      </c>
      <c r="M216" t="s">
        <v>957</v>
      </c>
      <c r="N216" t="s">
        <v>1413</v>
      </c>
    </row>
    <row r="217" spans="1:14" x14ac:dyDescent="0.2">
      <c r="A217" t="str">
        <f t="shared" si="3"/>
        <v>2023-2-COM-SR-LE-3-16S</v>
      </c>
      <c r="B217" t="s">
        <v>814</v>
      </c>
      <c r="C217" s="74" t="s">
        <v>395</v>
      </c>
      <c r="D217" s="88">
        <v>45124</v>
      </c>
      <c r="E217" t="s">
        <v>963</v>
      </c>
      <c r="F217" t="s">
        <v>90</v>
      </c>
      <c r="G217" t="s">
        <v>96</v>
      </c>
      <c r="H217" t="s">
        <v>546</v>
      </c>
      <c r="I217" t="s">
        <v>961</v>
      </c>
      <c r="J217" t="s">
        <v>62</v>
      </c>
      <c r="K217" t="s">
        <v>152</v>
      </c>
      <c r="L217">
        <v>3</v>
      </c>
      <c r="M217" t="s">
        <v>957</v>
      </c>
      <c r="N217" t="s">
        <v>1413</v>
      </c>
    </row>
    <row r="218" spans="1:14" x14ac:dyDescent="0.2">
      <c r="A218" t="str">
        <f t="shared" si="3"/>
        <v>2023-2-VBS-CL-LE-1-16S</v>
      </c>
      <c r="B218" t="s">
        <v>817</v>
      </c>
      <c r="C218" s="74" t="s">
        <v>396</v>
      </c>
      <c r="D218" s="88">
        <v>45126</v>
      </c>
      <c r="E218" t="s">
        <v>963</v>
      </c>
      <c r="F218" t="s">
        <v>549</v>
      </c>
      <c r="G218" t="s">
        <v>22</v>
      </c>
      <c r="H218" t="s">
        <v>547</v>
      </c>
      <c r="I218" t="s">
        <v>961</v>
      </c>
      <c r="J218" t="s">
        <v>43</v>
      </c>
      <c r="K218" t="s">
        <v>152</v>
      </c>
      <c r="L218">
        <v>1</v>
      </c>
      <c r="M218" t="s">
        <v>956</v>
      </c>
      <c r="N218" t="s">
        <v>1413</v>
      </c>
    </row>
    <row r="219" spans="1:14" x14ac:dyDescent="0.2">
      <c r="A219" t="str">
        <f t="shared" si="3"/>
        <v>2023-2-VBS-CL-LE-2-16S</v>
      </c>
      <c r="B219" t="s">
        <v>723</v>
      </c>
      <c r="C219" s="74" t="s">
        <v>397</v>
      </c>
      <c r="D219" s="88">
        <v>45126</v>
      </c>
      <c r="E219" t="s">
        <v>963</v>
      </c>
      <c r="F219" t="s">
        <v>549</v>
      </c>
      <c r="G219" t="s">
        <v>22</v>
      </c>
      <c r="H219" t="s">
        <v>547</v>
      </c>
      <c r="I219" t="s">
        <v>961</v>
      </c>
      <c r="J219" t="s">
        <v>43</v>
      </c>
      <c r="K219" t="s">
        <v>152</v>
      </c>
      <c r="L219">
        <v>2</v>
      </c>
      <c r="M219" t="s">
        <v>956</v>
      </c>
      <c r="N219" t="s">
        <v>1413</v>
      </c>
    </row>
    <row r="220" spans="1:14" x14ac:dyDescent="0.2">
      <c r="A220" t="str">
        <f t="shared" si="3"/>
        <v>2023-2-VBS-CL-LE-3-16S</v>
      </c>
      <c r="B220" t="s">
        <v>818</v>
      </c>
      <c r="C220" s="74" t="s">
        <v>398</v>
      </c>
      <c r="D220" s="88">
        <v>45126</v>
      </c>
      <c r="E220" t="s">
        <v>963</v>
      </c>
      <c r="F220" t="s">
        <v>549</v>
      </c>
      <c r="G220" t="s">
        <v>22</v>
      </c>
      <c r="H220" t="s">
        <v>547</v>
      </c>
      <c r="I220" t="s">
        <v>961</v>
      </c>
      <c r="J220" t="s">
        <v>43</v>
      </c>
      <c r="K220" t="s">
        <v>152</v>
      </c>
      <c r="L220">
        <v>3</v>
      </c>
      <c r="M220" t="s">
        <v>956</v>
      </c>
      <c r="N220" t="s">
        <v>1413</v>
      </c>
    </row>
    <row r="221" spans="1:14" x14ac:dyDescent="0.2">
      <c r="A221" t="str">
        <f t="shared" si="3"/>
        <v>2023-2-VBS-PR-LE-1-16S</v>
      </c>
      <c r="B221" t="s">
        <v>819</v>
      </c>
      <c r="C221" s="74" t="s">
        <v>399</v>
      </c>
      <c r="D221" s="88">
        <v>45126</v>
      </c>
      <c r="E221" t="s">
        <v>963</v>
      </c>
      <c r="F221" t="s">
        <v>549</v>
      </c>
      <c r="G221" t="s">
        <v>22</v>
      </c>
      <c r="H221" t="s">
        <v>547</v>
      </c>
      <c r="I221" t="s">
        <v>961</v>
      </c>
      <c r="J221" t="s">
        <v>74</v>
      </c>
      <c r="K221" t="s">
        <v>152</v>
      </c>
      <c r="L221">
        <v>1</v>
      </c>
      <c r="M221" t="s">
        <v>956</v>
      </c>
      <c r="N221" t="s">
        <v>1413</v>
      </c>
    </row>
    <row r="222" spans="1:14" x14ac:dyDescent="0.2">
      <c r="A222" t="str">
        <f t="shared" si="3"/>
        <v>2023-2-VBS-PR-LE-2-16S</v>
      </c>
      <c r="B222" t="s">
        <v>731</v>
      </c>
      <c r="C222" s="74" t="s">
        <v>400</v>
      </c>
      <c r="D222" s="88">
        <v>45126</v>
      </c>
      <c r="E222" t="s">
        <v>963</v>
      </c>
      <c r="F222" t="s">
        <v>549</v>
      </c>
      <c r="G222" t="s">
        <v>22</v>
      </c>
      <c r="H222" t="s">
        <v>547</v>
      </c>
      <c r="I222" t="s">
        <v>961</v>
      </c>
      <c r="J222" t="s">
        <v>74</v>
      </c>
      <c r="K222" t="s">
        <v>152</v>
      </c>
      <c r="L222">
        <v>2</v>
      </c>
      <c r="M222" t="s">
        <v>956</v>
      </c>
      <c r="N222" t="s">
        <v>1413</v>
      </c>
    </row>
    <row r="223" spans="1:14" x14ac:dyDescent="0.2">
      <c r="A223" t="str">
        <f t="shared" si="3"/>
        <v>2023-2-VBS-PR-LE-3-16S</v>
      </c>
      <c r="B223" t="s">
        <v>820</v>
      </c>
      <c r="C223" s="74" t="s">
        <v>401</v>
      </c>
      <c r="D223" s="88">
        <v>45126</v>
      </c>
      <c r="E223" t="s">
        <v>963</v>
      </c>
      <c r="F223" t="s">
        <v>549</v>
      </c>
      <c r="G223" t="s">
        <v>22</v>
      </c>
      <c r="H223" t="s">
        <v>547</v>
      </c>
      <c r="I223" t="s">
        <v>961</v>
      </c>
      <c r="J223" t="s">
        <v>74</v>
      </c>
      <c r="K223" t="s">
        <v>152</v>
      </c>
      <c r="L223">
        <v>3</v>
      </c>
      <c r="M223" t="s">
        <v>956</v>
      </c>
      <c r="N223" t="s">
        <v>1413</v>
      </c>
    </row>
    <row r="224" spans="1:14" x14ac:dyDescent="0.2">
      <c r="A224" t="str">
        <f t="shared" si="3"/>
        <v>2023-2-VBS-HC-LE-1-16S</v>
      </c>
      <c r="B224" t="s">
        <v>823</v>
      </c>
      <c r="C224" s="74" t="s">
        <v>402</v>
      </c>
      <c r="D224" s="88">
        <v>45126</v>
      </c>
      <c r="E224" t="s">
        <v>963</v>
      </c>
      <c r="F224" t="s">
        <v>549</v>
      </c>
      <c r="G224" t="s">
        <v>22</v>
      </c>
      <c r="H224" t="s">
        <v>547</v>
      </c>
      <c r="I224" t="s">
        <v>961</v>
      </c>
      <c r="J224" t="s">
        <v>51</v>
      </c>
      <c r="K224" t="s">
        <v>152</v>
      </c>
      <c r="L224">
        <v>1</v>
      </c>
      <c r="M224" t="s">
        <v>957</v>
      </c>
      <c r="N224" t="s">
        <v>1413</v>
      </c>
    </row>
    <row r="225" spans="1:14" x14ac:dyDescent="0.2">
      <c r="A225" t="str">
        <f t="shared" si="3"/>
        <v>2023-2-VBS-HC-LE-2-16S</v>
      </c>
      <c r="B225" t="s">
        <v>739</v>
      </c>
      <c r="C225" s="74" t="s">
        <v>403</v>
      </c>
      <c r="D225" s="88">
        <v>45126</v>
      </c>
      <c r="E225" t="s">
        <v>963</v>
      </c>
      <c r="F225" t="s">
        <v>549</v>
      </c>
      <c r="G225" t="s">
        <v>22</v>
      </c>
      <c r="H225" t="s">
        <v>547</v>
      </c>
      <c r="I225" t="s">
        <v>961</v>
      </c>
      <c r="J225" t="s">
        <v>51</v>
      </c>
      <c r="K225" t="s">
        <v>152</v>
      </c>
      <c r="L225">
        <v>2</v>
      </c>
      <c r="M225" t="s">
        <v>957</v>
      </c>
      <c r="N225" t="s">
        <v>1413</v>
      </c>
    </row>
    <row r="226" spans="1:14" x14ac:dyDescent="0.2">
      <c r="A226" t="str">
        <f t="shared" si="3"/>
        <v>2023-2-VBS-HC-LE-3-16S</v>
      </c>
      <c r="B226" t="s">
        <v>824</v>
      </c>
      <c r="C226" s="74" t="s">
        <v>404</v>
      </c>
      <c r="D226" s="88">
        <v>45126</v>
      </c>
      <c r="E226" t="s">
        <v>963</v>
      </c>
      <c r="F226" t="s">
        <v>549</v>
      </c>
      <c r="G226" t="s">
        <v>22</v>
      </c>
      <c r="H226" t="s">
        <v>547</v>
      </c>
      <c r="I226" t="s">
        <v>961</v>
      </c>
      <c r="J226" t="s">
        <v>51</v>
      </c>
      <c r="K226" t="s">
        <v>152</v>
      </c>
      <c r="L226">
        <v>3</v>
      </c>
      <c r="M226" t="s">
        <v>957</v>
      </c>
      <c r="N226" t="s">
        <v>1413</v>
      </c>
    </row>
    <row r="227" spans="1:14" x14ac:dyDescent="0.2">
      <c r="A227" t="str">
        <f t="shared" si="3"/>
        <v>2023-2-VBS-SP-LE-1-16S</v>
      </c>
      <c r="B227" t="s">
        <v>825</v>
      </c>
      <c r="C227" s="74" t="s">
        <v>405</v>
      </c>
      <c r="D227" s="88">
        <v>45126</v>
      </c>
      <c r="E227" t="s">
        <v>963</v>
      </c>
      <c r="F227" t="s">
        <v>549</v>
      </c>
      <c r="G227" t="s">
        <v>22</v>
      </c>
      <c r="H227" t="s">
        <v>547</v>
      </c>
      <c r="I227" t="s">
        <v>961</v>
      </c>
      <c r="J227" t="s">
        <v>60</v>
      </c>
      <c r="K227" t="s">
        <v>152</v>
      </c>
      <c r="L227">
        <v>1</v>
      </c>
      <c r="M227" t="s">
        <v>957</v>
      </c>
      <c r="N227" t="s">
        <v>1413</v>
      </c>
    </row>
    <row r="228" spans="1:14" x14ac:dyDescent="0.2">
      <c r="A228" t="str">
        <f t="shared" si="3"/>
        <v>2023-2-VBS-SP-LE-2-16S</v>
      </c>
      <c r="B228" t="s">
        <v>650</v>
      </c>
      <c r="C228" s="74" t="s">
        <v>406</v>
      </c>
      <c r="D228" s="88">
        <v>45126</v>
      </c>
      <c r="E228" t="s">
        <v>963</v>
      </c>
      <c r="F228" t="s">
        <v>549</v>
      </c>
      <c r="G228" t="s">
        <v>22</v>
      </c>
      <c r="H228" t="s">
        <v>547</v>
      </c>
      <c r="I228" t="s">
        <v>961</v>
      </c>
      <c r="J228" t="s">
        <v>60</v>
      </c>
      <c r="K228" t="s">
        <v>152</v>
      </c>
      <c r="L228">
        <v>2</v>
      </c>
      <c r="M228" t="s">
        <v>957</v>
      </c>
      <c r="N228" t="s">
        <v>1413</v>
      </c>
    </row>
    <row r="229" spans="1:14" x14ac:dyDescent="0.2">
      <c r="A229" t="str">
        <f t="shared" si="3"/>
        <v>2023-2-VBS-SP-LE-3-16S</v>
      </c>
      <c r="B229" t="s">
        <v>826</v>
      </c>
      <c r="C229" s="74" t="s">
        <v>407</v>
      </c>
      <c r="D229" s="88">
        <v>45126</v>
      </c>
      <c r="E229" t="s">
        <v>963</v>
      </c>
      <c r="F229" t="s">
        <v>549</v>
      </c>
      <c r="G229" t="s">
        <v>22</v>
      </c>
      <c r="H229" t="s">
        <v>547</v>
      </c>
      <c r="I229" t="s">
        <v>961</v>
      </c>
      <c r="J229" t="s">
        <v>60</v>
      </c>
      <c r="K229" t="s">
        <v>152</v>
      </c>
      <c r="L229">
        <v>3</v>
      </c>
      <c r="M229" t="s">
        <v>957</v>
      </c>
      <c r="N229" t="s">
        <v>1413</v>
      </c>
    </row>
    <row r="230" spans="1:14" x14ac:dyDescent="0.2">
      <c r="A230" t="str">
        <f t="shared" si="3"/>
        <v>2023-2-VBS-LI-LE-1-16S</v>
      </c>
      <c r="B230" t="s">
        <v>827</v>
      </c>
      <c r="C230" s="74" t="s">
        <v>408</v>
      </c>
      <c r="D230" s="88">
        <v>45126</v>
      </c>
      <c r="E230" t="s">
        <v>963</v>
      </c>
      <c r="F230" t="s">
        <v>549</v>
      </c>
      <c r="G230" t="s">
        <v>22</v>
      </c>
      <c r="H230" t="s">
        <v>547</v>
      </c>
      <c r="I230" t="s">
        <v>961</v>
      </c>
      <c r="J230" t="s">
        <v>36</v>
      </c>
      <c r="K230" t="s">
        <v>152</v>
      </c>
      <c r="L230">
        <v>1</v>
      </c>
      <c r="M230" t="s">
        <v>958</v>
      </c>
      <c r="N230" t="s">
        <v>1413</v>
      </c>
    </row>
    <row r="231" spans="1:14" x14ac:dyDescent="0.2">
      <c r="A231" t="str">
        <f t="shared" si="3"/>
        <v>2023-2-VBS-LI-LE-2-16S</v>
      </c>
      <c r="B231" t="s">
        <v>654</v>
      </c>
      <c r="C231" s="74" t="s">
        <v>409</v>
      </c>
      <c r="D231" s="88">
        <v>45126</v>
      </c>
      <c r="E231" t="s">
        <v>963</v>
      </c>
      <c r="F231" t="s">
        <v>549</v>
      </c>
      <c r="G231" t="s">
        <v>22</v>
      </c>
      <c r="H231" t="s">
        <v>547</v>
      </c>
      <c r="I231" t="s">
        <v>961</v>
      </c>
      <c r="J231" t="s">
        <v>36</v>
      </c>
      <c r="K231" t="s">
        <v>152</v>
      </c>
      <c r="L231">
        <v>2</v>
      </c>
      <c r="M231" t="s">
        <v>958</v>
      </c>
      <c r="N231" t="s">
        <v>1413</v>
      </c>
    </row>
    <row r="232" spans="1:14" x14ac:dyDescent="0.2">
      <c r="A232" t="str">
        <f t="shared" si="3"/>
        <v>2023-2-VBS-LI-LE-3-16S</v>
      </c>
      <c r="B232" t="s">
        <v>828</v>
      </c>
      <c r="C232" s="74" t="s">
        <v>410</v>
      </c>
      <c r="D232" s="88">
        <v>45126</v>
      </c>
      <c r="E232" t="s">
        <v>963</v>
      </c>
      <c r="F232" t="s">
        <v>549</v>
      </c>
      <c r="G232" t="s">
        <v>22</v>
      </c>
      <c r="H232" t="s">
        <v>547</v>
      </c>
      <c r="I232" t="s">
        <v>961</v>
      </c>
      <c r="J232" t="s">
        <v>36</v>
      </c>
      <c r="K232" t="s">
        <v>152</v>
      </c>
      <c r="L232">
        <v>3</v>
      </c>
      <c r="M232" t="s">
        <v>958</v>
      </c>
      <c r="N232" t="s">
        <v>1413</v>
      </c>
    </row>
    <row r="233" spans="1:14" x14ac:dyDescent="0.2">
      <c r="A233" t="str">
        <f t="shared" si="3"/>
        <v>2023-2-VBS-FR-LE-1-16S</v>
      </c>
      <c r="B233" t="s">
        <v>821</v>
      </c>
      <c r="C233" s="74" t="s">
        <v>411</v>
      </c>
      <c r="D233" s="88">
        <v>45126</v>
      </c>
      <c r="E233" t="s">
        <v>963</v>
      </c>
      <c r="F233" t="s">
        <v>549</v>
      </c>
      <c r="G233" t="s">
        <v>22</v>
      </c>
      <c r="H233" t="s">
        <v>547</v>
      </c>
      <c r="I233" t="s">
        <v>961</v>
      </c>
      <c r="J233" t="s">
        <v>34</v>
      </c>
      <c r="K233" t="s">
        <v>152</v>
      </c>
      <c r="L233">
        <v>1</v>
      </c>
      <c r="M233" t="s">
        <v>958</v>
      </c>
      <c r="N233" t="s">
        <v>1413</v>
      </c>
    </row>
    <row r="234" spans="1:14" x14ac:dyDescent="0.2">
      <c r="A234" t="str">
        <f t="shared" si="3"/>
        <v>2023-2-VBS-FR-LE-2-16S</v>
      </c>
      <c r="B234" t="s">
        <v>658</v>
      </c>
      <c r="C234" s="74" t="s">
        <v>412</v>
      </c>
      <c r="D234" s="88">
        <v>45126</v>
      </c>
      <c r="E234" t="s">
        <v>963</v>
      </c>
      <c r="F234" t="s">
        <v>549</v>
      </c>
      <c r="G234" t="s">
        <v>22</v>
      </c>
      <c r="H234" t="s">
        <v>547</v>
      </c>
      <c r="I234" t="s">
        <v>961</v>
      </c>
      <c r="J234" t="s">
        <v>34</v>
      </c>
      <c r="K234" t="s">
        <v>152</v>
      </c>
      <c r="L234">
        <v>2</v>
      </c>
      <c r="M234" t="s">
        <v>958</v>
      </c>
      <c r="N234" t="s">
        <v>1413</v>
      </c>
    </row>
    <row r="235" spans="1:14" x14ac:dyDescent="0.2">
      <c r="A235" t="str">
        <f t="shared" si="3"/>
        <v>2023-2-VBS-FR-LE-3-16S</v>
      </c>
      <c r="B235" t="s">
        <v>822</v>
      </c>
      <c r="C235" s="74" t="s">
        <v>413</v>
      </c>
      <c r="D235" s="88">
        <v>45126</v>
      </c>
      <c r="E235" t="s">
        <v>963</v>
      </c>
      <c r="F235" t="s">
        <v>549</v>
      </c>
      <c r="G235" t="s">
        <v>22</v>
      </c>
      <c r="H235" t="s">
        <v>547</v>
      </c>
      <c r="I235" t="s">
        <v>961</v>
      </c>
      <c r="J235" t="s">
        <v>34</v>
      </c>
      <c r="K235" t="s">
        <v>152</v>
      </c>
      <c r="L235">
        <v>3</v>
      </c>
      <c r="M235" t="s">
        <v>958</v>
      </c>
      <c r="N235" t="s">
        <v>1413</v>
      </c>
    </row>
    <row r="236" spans="1:14" x14ac:dyDescent="0.2">
      <c r="A236" t="str">
        <f t="shared" si="3"/>
        <v>2023-2-MIC-CL-LE-1-16S</v>
      </c>
      <c r="B236" t="s">
        <v>833</v>
      </c>
      <c r="C236" s="74" t="s">
        <v>414</v>
      </c>
      <c r="D236" s="88">
        <v>45128</v>
      </c>
      <c r="E236" t="s">
        <v>963</v>
      </c>
      <c r="F236" t="s">
        <v>552</v>
      </c>
      <c r="G236" t="s">
        <v>95</v>
      </c>
      <c r="H236" t="s">
        <v>543</v>
      </c>
      <c r="I236" t="s">
        <v>960</v>
      </c>
      <c r="J236" t="s">
        <v>43</v>
      </c>
      <c r="K236" t="s">
        <v>152</v>
      </c>
      <c r="L236">
        <v>1</v>
      </c>
      <c r="M236" t="s">
        <v>956</v>
      </c>
      <c r="N236" t="s">
        <v>1413</v>
      </c>
    </row>
    <row r="237" spans="1:14" x14ac:dyDescent="0.2">
      <c r="A237" t="str">
        <f t="shared" si="3"/>
        <v>2023-2-MIC-CL-LE-2-16S</v>
      </c>
      <c r="B237" t="s">
        <v>758</v>
      </c>
      <c r="C237" s="74" t="s">
        <v>415</v>
      </c>
      <c r="D237" s="88">
        <v>45128</v>
      </c>
      <c r="E237" t="s">
        <v>963</v>
      </c>
      <c r="F237" t="s">
        <v>552</v>
      </c>
      <c r="G237" t="s">
        <v>95</v>
      </c>
      <c r="H237" t="s">
        <v>543</v>
      </c>
      <c r="I237" t="s">
        <v>960</v>
      </c>
      <c r="J237" t="s">
        <v>43</v>
      </c>
      <c r="K237" t="s">
        <v>152</v>
      </c>
      <c r="L237">
        <v>2</v>
      </c>
      <c r="M237" t="s">
        <v>956</v>
      </c>
      <c r="N237" t="s">
        <v>1413</v>
      </c>
    </row>
    <row r="238" spans="1:14" x14ac:dyDescent="0.2">
      <c r="A238" t="str">
        <f t="shared" si="3"/>
        <v>2023-2-MIC-CL-LE-3-16S</v>
      </c>
      <c r="B238" t="s">
        <v>834</v>
      </c>
      <c r="C238" s="74" t="s">
        <v>416</v>
      </c>
      <c r="D238" s="88">
        <v>45128</v>
      </c>
      <c r="E238" t="s">
        <v>963</v>
      </c>
      <c r="F238" t="s">
        <v>552</v>
      </c>
      <c r="G238" t="s">
        <v>95</v>
      </c>
      <c r="H238" t="s">
        <v>543</v>
      </c>
      <c r="I238" t="s">
        <v>960</v>
      </c>
      <c r="J238" t="s">
        <v>43</v>
      </c>
      <c r="K238" t="s">
        <v>152</v>
      </c>
      <c r="L238">
        <v>3</v>
      </c>
      <c r="M238" t="s">
        <v>956</v>
      </c>
      <c r="N238" t="s">
        <v>1413</v>
      </c>
    </row>
    <row r="239" spans="1:14" x14ac:dyDescent="0.2">
      <c r="A239" t="str">
        <f t="shared" si="3"/>
        <v>2023-2-MIC-HC-LE-1-16S</v>
      </c>
      <c r="B239" t="s">
        <v>835</v>
      </c>
      <c r="C239" s="74" t="s">
        <v>417</v>
      </c>
      <c r="D239" s="88">
        <v>45128</v>
      </c>
      <c r="E239" t="s">
        <v>963</v>
      </c>
      <c r="F239" t="s">
        <v>552</v>
      </c>
      <c r="G239" t="s">
        <v>95</v>
      </c>
      <c r="H239" t="s">
        <v>543</v>
      </c>
      <c r="I239" t="s">
        <v>960</v>
      </c>
      <c r="J239" t="s">
        <v>51</v>
      </c>
      <c r="K239" t="s">
        <v>152</v>
      </c>
      <c r="L239">
        <v>1</v>
      </c>
      <c r="M239" t="s">
        <v>957</v>
      </c>
      <c r="N239" t="s">
        <v>1413</v>
      </c>
    </row>
    <row r="240" spans="1:14" x14ac:dyDescent="0.2">
      <c r="A240" t="str">
        <f t="shared" si="3"/>
        <v>2023-2-MIC-HC-LE-2-16S</v>
      </c>
      <c r="B240" t="s">
        <v>763</v>
      </c>
      <c r="C240" s="74" t="s">
        <v>418</v>
      </c>
      <c r="D240" s="88">
        <v>45128</v>
      </c>
      <c r="E240" t="s">
        <v>963</v>
      </c>
      <c r="F240" t="s">
        <v>552</v>
      </c>
      <c r="G240" t="s">
        <v>95</v>
      </c>
      <c r="H240" t="s">
        <v>543</v>
      </c>
      <c r="I240" t="s">
        <v>960</v>
      </c>
      <c r="J240" t="s">
        <v>51</v>
      </c>
      <c r="K240" t="s">
        <v>152</v>
      </c>
      <c r="L240">
        <v>2</v>
      </c>
      <c r="M240" t="s">
        <v>957</v>
      </c>
      <c r="N240" t="s">
        <v>1413</v>
      </c>
    </row>
    <row r="241" spans="1:14" x14ac:dyDescent="0.2">
      <c r="A241" t="str">
        <f t="shared" si="3"/>
        <v>2023-2-MIC-HC-LE-3-16S</v>
      </c>
      <c r="B241" t="s">
        <v>836</v>
      </c>
      <c r="C241" s="74" t="s">
        <v>419</v>
      </c>
      <c r="D241" s="88">
        <v>45128</v>
      </c>
      <c r="E241" t="s">
        <v>963</v>
      </c>
      <c r="F241" t="s">
        <v>552</v>
      </c>
      <c r="G241" t="s">
        <v>95</v>
      </c>
      <c r="H241" t="s">
        <v>543</v>
      </c>
      <c r="I241" t="s">
        <v>960</v>
      </c>
      <c r="J241" t="s">
        <v>51</v>
      </c>
      <c r="K241" t="s">
        <v>152</v>
      </c>
      <c r="L241">
        <v>3</v>
      </c>
      <c r="M241" t="s">
        <v>957</v>
      </c>
      <c r="N241" t="s">
        <v>1413</v>
      </c>
    </row>
    <row r="242" spans="1:14" x14ac:dyDescent="0.2">
      <c r="A242" t="str">
        <f t="shared" si="3"/>
        <v>2023-2-MIC-SP-LE-1-16S</v>
      </c>
      <c r="B242" t="s">
        <v>829</v>
      </c>
      <c r="C242" s="74" t="s">
        <v>420</v>
      </c>
      <c r="D242" s="88">
        <v>45128</v>
      </c>
      <c r="E242" t="s">
        <v>963</v>
      </c>
      <c r="F242" t="s">
        <v>552</v>
      </c>
      <c r="G242" t="s">
        <v>95</v>
      </c>
      <c r="H242" t="s">
        <v>543</v>
      </c>
      <c r="I242" t="s">
        <v>960</v>
      </c>
      <c r="J242" t="s">
        <v>60</v>
      </c>
      <c r="K242" t="s">
        <v>152</v>
      </c>
      <c r="L242">
        <v>1</v>
      </c>
      <c r="M242" t="s">
        <v>957</v>
      </c>
      <c r="N242" t="s">
        <v>1413</v>
      </c>
    </row>
    <row r="243" spans="1:14" x14ac:dyDescent="0.2">
      <c r="A243" t="str">
        <f t="shared" si="3"/>
        <v>2023-2-MIC-SP-LE-2-16S</v>
      </c>
      <c r="B243" t="s">
        <v>661</v>
      </c>
      <c r="C243" s="74" t="s">
        <v>421</v>
      </c>
      <c r="D243" s="88">
        <v>45128</v>
      </c>
      <c r="E243" t="s">
        <v>963</v>
      </c>
      <c r="F243" t="s">
        <v>552</v>
      </c>
      <c r="G243" t="s">
        <v>95</v>
      </c>
      <c r="H243" t="s">
        <v>543</v>
      </c>
      <c r="I243" t="s">
        <v>960</v>
      </c>
      <c r="J243" t="s">
        <v>60</v>
      </c>
      <c r="K243" t="s">
        <v>152</v>
      </c>
      <c r="L243">
        <v>2</v>
      </c>
      <c r="M243" t="s">
        <v>957</v>
      </c>
      <c r="N243" t="s">
        <v>1413</v>
      </c>
    </row>
    <row r="244" spans="1:14" x14ac:dyDescent="0.2">
      <c r="A244" t="str">
        <f t="shared" si="3"/>
        <v>2023-2-MIC-SP-LE-3-16S</v>
      </c>
      <c r="B244" t="s">
        <v>830</v>
      </c>
      <c r="C244" s="74" t="s">
        <v>422</v>
      </c>
      <c r="D244" s="88">
        <v>45128</v>
      </c>
      <c r="E244" t="s">
        <v>963</v>
      </c>
      <c r="F244" t="s">
        <v>552</v>
      </c>
      <c r="G244" t="s">
        <v>95</v>
      </c>
      <c r="H244" t="s">
        <v>543</v>
      </c>
      <c r="I244" t="s">
        <v>960</v>
      </c>
      <c r="J244" t="s">
        <v>60</v>
      </c>
      <c r="K244" t="s">
        <v>152</v>
      </c>
      <c r="L244">
        <v>3</v>
      </c>
      <c r="M244" t="s">
        <v>957</v>
      </c>
      <c r="N244" t="s">
        <v>1413</v>
      </c>
    </row>
    <row r="245" spans="1:14" x14ac:dyDescent="0.2">
      <c r="A245" t="str">
        <f t="shared" si="3"/>
        <v>2023-2-MIC-LI-LE-1-16S</v>
      </c>
      <c r="B245" t="s">
        <v>831</v>
      </c>
      <c r="C245" s="74" t="s">
        <v>423</v>
      </c>
      <c r="D245" s="88">
        <v>45128</v>
      </c>
      <c r="E245" t="s">
        <v>963</v>
      </c>
      <c r="F245" t="s">
        <v>552</v>
      </c>
      <c r="G245" t="s">
        <v>95</v>
      </c>
      <c r="H245" t="s">
        <v>543</v>
      </c>
      <c r="I245" t="s">
        <v>960</v>
      </c>
      <c r="J245" t="s">
        <v>36</v>
      </c>
      <c r="K245" t="s">
        <v>152</v>
      </c>
      <c r="L245">
        <v>1</v>
      </c>
      <c r="M245" t="s">
        <v>958</v>
      </c>
      <c r="N245" t="s">
        <v>1413</v>
      </c>
    </row>
    <row r="246" spans="1:14" x14ac:dyDescent="0.2">
      <c r="A246" t="str">
        <f t="shared" si="3"/>
        <v>2023-2-MIC-LI-LE-2-16S</v>
      </c>
      <c r="B246" t="s">
        <v>664</v>
      </c>
      <c r="C246" s="74" t="s">
        <v>424</v>
      </c>
      <c r="D246" s="88">
        <v>45128</v>
      </c>
      <c r="E246" t="s">
        <v>963</v>
      </c>
      <c r="F246" t="s">
        <v>552</v>
      </c>
      <c r="G246" t="s">
        <v>95</v>
      </c>
      <c r="H246" t="s">
        <v>543</v>
      </c>
      <c r="I246" t="s">
        <v>960</v>
      </c>
      <c r="J246" t="s">
        <v>36</v>
      </c>
      <c r="K246" t="s">
        <v>152</v>
      </c>
      <c r="L246">
        <v>2</v>
      </c>
      <c r="M246" t="s">
        <v>958</v>
      </c>
      <c r="N246" t="s">
        <v>1413</v>
      </c>
    </row>
    <row r="247" spans="1:14" x14ac:dyDescent="0.2">
      <c r="A247" t="str">
        <f t="shared" si="3"/>
        <v>2023-2-MIC-LI-LE-3-16S</v>
      </c>
      <c r="B247" t="s">
        <v>832</v>
      </c>
      <c r="C247" s="74" t="s">
        <v>425</v>
      </c>
      <c r="D247" s="88">
        <v>45128</v>
      </c>
      <c r="E247" t="s">
        <v>963</v>
      </c>
      <c r="F247" t="s">
        <v>552</v>
      </c>
      <c r="G247" t="s">
        <v>95</v>
      </c>
      <c r="H247" t="s">
        <v>543</v>
      </c>
      <c r="I247" t="s">
        <v>960</v>
      </c>
      <c r="J247" t="s">
        <v>36</v>
      </c>
      <c r="K247" t="s">
        <v>152</v>
      </c>
      <c r="L247">
        <v>3</v>
      </c>
      <c r="M247" t="s">
        <v>958</v>
      </c>
      <c r="N247" t="s">
        <v>1413</v>
      </c>
    </row>
    <row r="248" spans="1:14" x14ac:dyDescent="0.2">
      <c r="A248" t="str">
        <f t="shared" si="3"/>
        <v>2023-2-MIC-EM-LE-1-16S</v>
      </c>
      <c r="B248" t="s">
        <v>837</v>
      </c>
      <c r="C248" s="74" t="s">
        <v>426</v>
      </c>
      <c r="D248" s="88">
        <v>45128</v>
      </c>
      <c r="E248" t="s">
        <v>963</v>
      </c>
      <c r="F248" t="s">
        <v>552</v>
      </c>
      <c r="G248" t="s">
        <v>95</v>
      </c>
      <c r="H248" t="s">
        <v>543</v>
      </c>
      <c r="I248" t="s">
        <v>960</v>
      </c>
      <c r="J248" t="s">
        <v>45</v>
      </c>
      <c r="K248" t="s">
        <v>152</v>
      </c>
      <c r="L248">
        <v>1</v>
      </c>
      <c r="M248" t="s">
        <v>958</v>
      </c>
      <c r="N248" t="s">
        <v>1413</v>
      </c>
    </row>
    <row r="249" spans="1:14" x14ac:dyDescent="0.2">
      <c r="A249" t="str">
        <f t="shared" si="3"/>
        <v>2023-2-MIC-EM-LE-2-16S</v>
      </c>
      <c r="B249" t="s">
        <v>667</v>
      </c>
      <c r="C249" s="74" t="s">
        <v>427</v>
      </c>
      <c r="D249" s="88">
        <v>45128</v>
      </c>
      <c r="E249" t="s">
        <v>963</v>
      </c>
      <c r="F249" t="s">
        <v>552</v>
      </c>
      <c r="G249" t="s">
        <v>95</v>
      </c>
      <c r="H249" t="s">
        <v>543</v>
      </c>
      <c r="I249" t="s">
        <v>960</v>
      </c>
      <c r="J249" t="s">
        <v>45</v>
      </c>
      <c r="K249" t="s">
        <v>152</v>
      </c>
      <c r="L249">
        <v>2</v>
      </c>
      <c r="M249" t="s">
        <v>958</v>
      </c>
      <c r="N249" t="s">
        <v>1413</v>
      </c>
    </row>
    <row r="250" spans="1:14" x14ac:dyDescent="0.2">
      <c r="A250" t="str">
        <f t="shared" si="3"/>
        <v>2023-2-MIC-EM-LE-3-16S</v>
      </c>
      <c r="B250" t="s">
        <v>838</v>
      </c>
      <c r="C250" s="74" t="s">
        <v>428</v>
      </c>
      <c r="D250" s="88">
        <v>45128</v>
      </c>
      <c r="E250" t="s">
        <v>963</v>
      </c>
      <c r="F250" t="s">
        <v>552</v>
      </c>
      <c r="G250" t="s">
        <v>95</v>
      </c>
      <c r="H250" t="s">
        <v>543</v>
      </c>
      <c r="I250" t="s">
        <v>960</v>
      </c>
      <c r="J250" t="s">
        <v>45</v>
      </c>
      <c r="K250" t="s">
        <v>152</v>
      </c>
      <c r="L250">
        <v>3</v>
      </c>
      <c r="M250" t="s">
        <v>958</v>
      </c>
      <c r="N250" t="s">
        <v>1413</v>
      </c>
    </row>
    <row r="251" spans="1:14" x14ac:dyDescent="0.2">
      <c r="A251" t="str">
        <f t="shared" si="3"/>
        <v>2023-2-MIB-CL-LE-1-16S</v>
      </c>
      <c r="B251" t="s">
        <v>839</v>
      </c>
      <c r="C251" s="74" t="s">
        <v>429</v>
      </c>
      <c r="D251" s="88">
        <v>45128</v>
      </c>
      <c r="E251" t="s">
        <v>963</v>
      </c>
      <c r="F251" t="s">
        <v>550</v>
      </c>
      <c r="G251" t="s">
        <v>94</v>
      </c>
      <c r="H251" t="s">
        <v>544</v>
      </c>
      <c r="I251" t="s">
        <v>961</v>
      </c>
      <c r="J251" t="s">
        <v>43</v>
      </c>
      <c r="K251" t="s">
        <v>152</v>
      </c>
      <c r="L251">
        <v>1</v>
      </c>
      <c r="M251" t="s">
        <v>956</v>
      </c>
      <c r="N251" t="s">
        <v>1413</v>
      </c>
    </row>
    <row r="252" spans="1:14" x14ac:dyDescent="0.2">
      <c r="A252" t="str">
        <f t="shared" si="3"/>
        <v>2023-2-MIB-CL-LE-2-16S</v>
      </c>
      <c r="B252" t="s">
        <v>840</v>
      </c>
      <c r="C252" s="74" t="s">
        <v>430</v>
      </c>
      <c r="D252" s="88">
        <v>45128</v>
      </c>
      <c r="E252" t="s">
        <v>963</v>
      </c>
      <c r="F252" t="s">
        <v>550</v>
      </c>
      <c r="G252" t="s">
        <v>94</v>
      </c>
      <c r="H252" t="s">
        <v>544</v>
      </c>
      <c r="I252" t="s">
        <v>961</v>
      </c>
      <c r="J252" t="s">
        <v>43</v>
      </c>
      <c r="K252" t="s">
        <v>152</v>
      </c>
      <c r="L252">
        <v>2</v>
      </c>
      <c r="M252" t="s">
        <v>956</v>
      </c>
      <c r="N252" t="s">
        <v>1413</v>
      </c>
    </row>
    <row r="253" spans="1:14" x14ac:dyDescent="0.2">
      <c r="A253" t="str">
        <f t="shared" si="3"/>
        <v>2023-2-MIB-CL-LE-3-16S</v>
      </c>
      <c r="B253" t="s">
        <v>841</v>
      </c>
      <c r="C253" s="74" t="s">
        <v>431</v>
      </c>
      <c r="D253" s="88">
        <v>45128</v>
      </c>
      <c r="E253" t="s">
        <v>963</v>
      </c>
      <c r="F253" t="s">
        <v>550</v>
      </c>
      <c r="G253" t="s">
        <v>94</v>
      </c>
      <c r="H253" t="s">
        <v>544</v>
      </c>
      <c r="I253" t="s">
        <v>961</v>
      </c>
      <c r="J253" t="s">
        <v>43</v>
      </c>
      <c r="K253" t="s">
        <v>152</v>
      </c>
      <c r="L253">
        <v>3</v>
      </c>
      <c r="M253" t="s">
        <v>956</v>
      </c>
      <c r="N253" t="s">
        <v>1413</v>
      </c>
    </row>
    <row r="254" spans="1:14" x14ac:dyDescent="0.2">
      <c r="A254" t="str">
        <f t="shared" si="3"/>
        <v>2023-2-MIB-HC-LE-1-16S</v>
      </c>
      <c r="B254" t="s">
        <v>842</v>
      </c>
      <c r="C254" s="74" t="s">
        <v>432</v>
      </c>
      <c r="D254" s="88">
        <v>45128</v>
      </c>
      <c r="E254" t="s">
        <v>963</v>
      </c>
      <c r="F254" t="s">
        <v>550</v>
      </c>
      <c r="G254" t="s">
        <v>94</v>
      </c>
      <c r="H254" t="s">
        <v>544</v>
      </c>
      <c r="I254" t="s">
        <v>961</v>
      </c>
      <c r="J254" t="s">
        <v>51</v>
      </c>
      <c r="K254" t="s">
        <v>152</v>
      </c>
      <c r="L254">
        <v>1</v>
      </c>
      <c r="M254" t="s">
        <v>957</v>
      </c>
      <c r="N254" t="s">
        <v>1413</v>
      </c>
    </row>
    <row r="255" spans="1:14" x14ac:dyDescent="0.2">
      <c r="A255" t="str">
        <f t="shared" si="3"/>
        <v>2023-2-MIB-HC-LE-2-16S</v>
      </c>
      <c r="B255" t="s">
        <v>843</v>
      </c>
      <c r="C255" s="74" t="s">
        <v>433</v>
      </c>
      <c r="D255" s="88">
        <v>45128</v>
      </c>
      <c r="E255" t="s">
        <v>963</v>
      </c>
      <c r="F255" t="s">
        <v>550</v>
      </c>
      <c r="G255" t="s">
        <v>94</v>
      </c>
      <c r="H255" t="s">
        <v>544</v>
      </c>
      <c r="I255" t="s">
        <v>961</v>
      </c>
      <c r="J255" t="s">
        <v>51</v>
      </c>
      <c r="K255" t="s">
        <v>152</v>
      </c>
      <c r="L255">
        <v>2</v>
      </c>
      <c r="M255" t="s">
        <v>957</v>
      </c>
      <c r="N255" t="s">
        <v>1413</v>
      </c>
    </row>
    <row r="256" spans="1:14" x14ac:dyDescent="0.2">
      <c r="A256" t="str">
        <f t="shared" si="3"/>
        <v>2023-2-MIB-HC-LE-3-16S</v>
      </c>
      <c r="B256" t="s">
        <v>844</v>
      </c>
      <c r="C256" s="74" t="s">
        <v>434</v>
      </c>
      <c r="D256" s="88">
        <v>45128</v>
      </c>
      <c r="E256" t="s">
        <v>963</v>
      </c>
      <c r="F256" t="s">
        <v>550</v>
      </c>
      <c r="G256" t="s">
        <v>94</v>
      </c>
      <c r="H256" t="s">
        <v>544</v>
      </c>
      <c r="I256" t="s">
        <v>961</v>
      </c>
      <c r="J256" t="s">
        <v>51</v>
      </c>
      <c r="K256" t="s">
        <v>152</v>
      </c>
      <c r="L256">
        <v>3</v>
      </c>
      <c r="M256" t="s">
        <v>957</v>
      </c>
      <c r="N256" t="s">
        <v>1413</v>
      </c>
    </row>
    <row r="257" spans="1:14" x14ac:dyDescent="0.2">
      <c r="A257" t="str">
        <f t="shared" si="3"/>
        <v>2023-2-MIB-SP-LE-1-16S</v>
      </c>
      <c r="B257" t="s">
        <v>845</v>
      </c>
      <c r="C257" s="74" t="s">
        <v>435</v>
      </c>
      <c r="D257" s="88">
        <v>45128</v>
      </c>
      <c r="E257" t="s">
        <v>963</v>
      </c>
      <c r="F257" t="s">
        <v>550</v>
      </c>
      <c r="G257" t="s">
        <v>94</v>
      </c>
      <c r="H257" t="s">
        <v>544</v>
      </c>
      <c r="I257" t="s">
        <v>961</v>
      </c>
      <c r="J257" t="s">
        <v>60</v>
      </c>
      <c r="K257" t="s">
        <v>152</v>
      </c>
      <c r="L257">
        <v>1</v>
      </c>
      <c r="M257" t="s">
        <v>957</v>
      </c>
      <c r="N257" t="s">
        <v>1413</v>
      </c>
    </row>
    <row r="258" spans="1:14" x14ac:dyDescent="0.2">
      <c r="A258" t="str">
        <f t="shared" si="3"/>
        <v>2023-2-MIB-SP-LE-2-16S</v>
      </c>
      <c r="B258" t="s">
        <v>670</v>
      </c>
      <c r="C258" s="74" t="s">
        <v>436</v>
      </c>
      <c r="D258" s="88">
        <v>45128</v>
      </c>
      <c r="E258" t="s">
        <v>963</v>
      </c>
      <c r="F258" t="s">
        <v>550</v>
      </c>
      <c r="G258" t="s">
        <v>94</v>
      </c>
      <c r="H258" t="s">
        <v>544</v>
      </c>
      <c r="I258" t="s">
        <v>961</v>
      </c>
      <c r="J258" t="s">
        <v>60</v>
      </c>
      <c r="K258" t="s">
        <v>152</v>
      </c>
      <c r="L258">
        <v>2</v>
      </c>
      <c r="M258" t="s">
        <v>957</v>
      </c>
      <c r="N258" t="s">
        <v>1413</v>
      </c>
    </row>
    <row r="259" spans="1:14" x14ac:dyDescent="0.2">
      <c r="A259" t="str">
        <f t="shared" ref="A259:A322" si="4">"2023-"&amp;B259&amp;"-16S"</f>
        <v>2023-2-MIB-SP-LE-3-16S</v>
      </c>
      <c r="B259" t="s">
        <v>846</v>
      </c>
      <c r="C259" s="74" t="s">
        <v>437</v>
      </c>
      <c r="D259" s="88">
        <v>45128</v>
      </c>
      <c r="E259" t="s">
        <v>963</v>
      </c>
      <c r="F259" t="s">
        <v>550</v>
      </c>
      <c r="G259" t="s">
        <v>94</v>
      </c>
      <c r="H259" t="s">
        <v>544</v>
      </c>
      <c r="I259" t="s">
        <v>961</v>
      </c>
      <c r="J259" t="s">
        <v>60</v>
      </c>
      <c r="K259" t="s">
        <v>152</v>
      </c>
      <c r="L259">
        <v>3</v>
      </c>
      <c r="M259" t="s">
        <v>957</v>
      </c>
      <c r="N259" t="s">
        <v>1413</v>
      </c>
    </row>
    <row r="260" spans="1:14" x14ac:dyDescent="0.2">
      <c r="A260" t="str">
        <f t="shared" si="4"/>
        <v>2023-2-MIB-LI-LE-1-16S</v>
      </c>
      <c r="B260" t="s">
        <v>847</v>
      </c>
      <c r="C260" s="74" t="s">
        <v>438</v>
      </c>
      <c r="D260" s="88">
        <v>45128</v>
      </c>
      <c r="E260" t="s">
        <v>963</v>
      </c>
      <c r="F260" t="s">
        <v>550</v>
      </c>
      <c r="G260" t="s">
        <v>94</v>
      </c>
      <c r="H260" t="s">
        <v>544</v>
      </c>
      <c r="I260" t="s">
        <v>961</v>
      </c>
      <c r="J260" t="s">
        <v>36</v>
      </c>
      <c r="K260" t="s">
        <v>152</v>
      </c>
      <c r="L260">
        <v>1</v>
      </c>
      <c r="M260" t="s">
        <v>958</v>
      </c>
      <c r="N260" t="s">
        <v>1413</v>
      </c>
    </row>
    <row r="261" spans="1:14" x14ac:dyDescent="0.2">
      <c r="A261" t="str">
        <f t="shared" si="4"/>
        <v>2023-2-MIB-LI-LE-2-16S</v>
      </c>
      <c r="B261" t="s">
        <v>673</v>
      </c>
      <c r="C261" s="74" t="s">
        <v>439</v>
      </c>
      <c r="D261" s="88">
        <v>45128</v>
      </c>
      <c r="E261" t="s">
        <v>963</v>
      </c>
      <c r="F261" t="s">
        <v>550</v>
      </c>
      <c r="G261" t="s">
        <v>94</v>
      </c>
      <c r="H261" t="s">
        <v>544</v>
      </c>
      <c r="I261" t="s">
        <v>961</v>
      </c>
      <c r="J261" t="s">
        <v>36</v>
      </c>
      <c r="K261" t="s">
        <v>152</v>
      </c>
      <c r="L261">
        <v>2</v>
      </c>
      <c r="M261" t="s">
        <v>958</v>
      </c>
      <c r="N261" t="s">
        <v>1413</v>
      </c>
    </row>
    <row r="262" spans="1:14" x14ac:dyDescent="0.2">
      <c r="A262" t="str">
        <f t="shared" si="4"/>
        <v>2023-2-MIB-LI-LE-3-16S</v>
      </c>
      <c r="B262" t="s">
        <v>848</v>
      </c>
      <c r="C262" s="74" t="s">
        <v>440</v>
      </c>
      <c r="D262" s="88">
        <v>45128</v>
      </c>
      <c r="E262" t="s">
        <v>963</v>
      </c>
      <c r="F262" t="s">
        <v>550</v>
      </c>
      <c r="G262" t="s">
        <v>94</v>
      </c>
      <c r="H262" t="s">
        <v>544</v>
      </c>
      <c r="I262" t="s">
        <v>961</v>
      </c>
      <c r="J262" t="s">
        <v>36</v>
      </c>
      <c r="K262" t="s">
        <v>152</v>
      </c>
      <c r="L262">
        <v>3</v>
      </c>
      <c r="M262" t="s">
        <v>958</v>
      </c>
      <c r="N262" t="s">
        <v>1413</v>
      </c>
    </row>
    <row r="263" spans="1:14" x14ac:dyDescent="0.2">
      <c r="A263" t="str">
        <f t="shared" si="4"/>
        <v>2023-2-MIB-EM-LE-1-16S</v>
      </c>
      <c r="B263" t="s">
        <v>849</v>
      </c>
      <c r="C263" s="74" t="s">
        <v>441</v>
      </c>
      <c r="D263" s="88">
        <v>45128</v>
      </c>
      <c r="E263" t="s">
        <v>963</v>
      </c>
      <c r="F263" t="s">
        <v>550</v>
      </c>
      <c r="G263" t="s">
        <v>94</v>
      </c>
      <c r="H263" t="s">
        <v>544</v>
      </c>
      <c r="I263" t="s">
        <v>961</v>
      </c>
      <c r="J263" t="s">
        <v>45</v>
      </c>
      <c r="K263" t="s">
        <v>152</v>
      </c>
      <c r="L263">
        <v>1</v>
      </c>
      <c r="M263" t="s">
        <v>958</v>
      </c>
      <c r="N263" t="s">
        <v>1413</v>
      </c>
    </row>
    <row r="264" spans="1:14" x14ac:dyDescent="0.2">
      <c r="A264" t="str">
        <f t="shared" si="4"/>
        <v>2023-2-MIB-EM-LE-2-16S</v>
      </c>
      <c r="B264" t="s">
        <v>676</v>
      </c>
      <c r="C264" s="74" t="s">
        <v>442</v>
      </c>
      <c r="D264" s="88">
        <v>45128</v>
      </c>
      <c r="E264" t="s">
        <v>963</v>
      </c>
      <c r="F264" t="s">
        <v>550</v>
      </c>
      <c r="G264" t="s">
        <v>94</v>
      </c>
      <c r="H264" t="s">
        <v>544</v>
      </c>
      <c r="I264" t="s">
        <v>961</v>
      </c>
      <c r="J264" t="s">
        <v>45</v>
      </c>
      <c r="K264" t="s">
        <v>152</v>
      </c>
      <c r="L264">
        <v>2</v>
      </c>
      <c r="M264" t="s">
        <v>958</v>
      </c>
      <c r="N264" t="s">
        <v>1413</v>
      </c>
    </row>
    <row r="265" spans="1:14" x14ac:dyDescent="0.2">
      <c r="A265" t="str">
        <f t="shared" si="4"/>
        <v>2023-2-MIB-EM-LE-3-16S</v>
      </c>
      <c r="B265" t="s">
        <v>850</v>
      </c>
      <c r="C265" s="74" t="s">
        <v>443</v>
      </c>
      <c r="D265" s="88">
        <v>45128</v>
      </c>
      <c r="E265" t="s">
        <v>963</v>
      </c>
      <c r="F265" t="s">
        <v>550</v>
      </c>
      <c r="G265" t="s">
        <v>94</v>
      </c>
      <c r="H265" t="s">
        <v>544</v>
      </c>
      <c r="I265" t="s">
        <v>961</v>
      </c>
      <c r="J265" t="s">
        <v>45</v>
      </c>
      <c r="K265" t="s">
        <v>152</v>
      </c>
      <c r="L265">
        <v>3</v>
      </c>
      <c r="M265" t="s">
        <v>958</v>
      </c>
      <c r="N265" t="s">
        <v>1413</v>
      </c>
    </row>
    <row r="266" spans="1:14" x14ac:dyDescent="0.2">
      <c r="A266" t="str">
        <f t="shared" si="4"/>
        <v>2023-3-ASB-CL-LE-1-16S</v>
      </c>
      <c r="B266" t="s">
        <v>851</v>
      </c>
      <c r="C266" s="74" t="s">
        <v>444</v>
      </c>
      <c r="D266" s="88">
        <v>45161</v>
      </c>
      <c r="E266" t="s">
        <v>964</v>
      </c>
      <c r="F266" t="s">
        <v>551</v>
      </c>
      <c r="G266" t="s">
        <v>16</v>
      </c>
      <c r="H266" t="s">
        <v>548</v>
      </c>
      <c r="I266" t="s">
        <v>960</v>
      </c>
      <c r="J266" t="s">
        <v>43</v>
      </c>
      <c r="K266" t="s">
        <v>152</v>
      </c>
      <c r="L266">
        <v>1</v>
      </c>
      <c r="M266" t="s">
        <v>956</v>
      </c>
      <c r="N266" t="s">
        <v>1413</v>
      </c>
    </row>
    <row r="267" spans="1:14" x14ac:dyDescent="0.2">
      <c r="A267" t="str">
        <f t="shared" si="4"/>
        <v>2023-3-ASB-CL-LE-2-16S</v>
      </c>
      <c r="B267" t="s">
        <v>852</v>
      </c>
      <c r="C267" s="74" t="s">
        <v>445</v>
      </c>
      <c r="D267" s="88">
        <v>45161</v>
      </c>
      <c r="E267" t="s">
        <v>964</v>
      </c>
      <c r="F267" t="s">
        <v>551</v>
      </c>
      <c r="G267" t="s">
        <v>16</v>
      </c>
      <c r="H267" t="s">
        <v>548</v>
      </c>
      <c r="I267" t="s">
        <v>960</v>
      </c>
      <c r="J267" t="s">
        <v>43</v>
      </c>
      <c r="K267" t="s">
        <v>152</v>
      </c>
      <c r="L267">
        <v>2</v>
      </c>
      <c r="M267" t="s">
        <v>956</v>
      </c>
      <c r="N267" t="s">
        <v>1413</v>
      </c>
    </row>
    <row r="268" spans="1:14" x14ac:dyDescent="0.2">
      <c r="A268" t="str">
        <f t="shared" si="4"/>
        <v>2023-3-ASB-CL-LE-3-16S</v>
      </c>
      <c r="B268" t="s">
        <v>559</v>
      </c>
      <c r="C268" s="74" t="s">
        <v>446</v>
      </c>
      <c r="D268" s="88">
        <v>45161</v>
      </c>
      <c r="E268" t="s">
        <v>964</v>
      </c>
      <c r="F268" t="s">
        <v>551</v>
      </c>
      <c r="G268" t="s">
        <v>16</v>
      </c>
      <c r="H268" t="s">
        <v>548</v>
      </c>
      <c r="I268" t="s">
        <v>960</v>
      </c>
      <c r="J268" t="s">
        <v>43</v>
      </c>
      <c r="K268" t="s">
        <v>152</v>
      </c>
      <c r="L268">
        <v>3</v>
      </c>
      <c r="M268" t="s">
        <v>956</v>
      </c>
      <c r="N268" t="s">
        <v>1413</v>
      </c>
    </row>
    <row r="269" spans="1:14" x14ac:dyDescent="0.2">
      <c r="A269" t="str">
        <f t="shared" si="4"/>
        <v>2023-3-ASB-PR-LE-1-16S</v>
      </c>
      <c r="B269" t="s">
        <v>853</v>
      </c>
      <c r="C269" s="74" t="s">
        <v>447</v>
      </c>
      <c r="D269" s="88">
        <v>45161</v>
      </c>
      <c r="E269" t="s">
        <v>964</v>
      </c>
      <c r="F269" t="s">
        <v>551</v>
      </c>
      <c r="G269" t="s">
        <v>16</v>
      </c>
      <c r="H269" t="s">
        <v>548</v>
      </c>
      <c r="I269" t="s">
        <v>960</v>
      </c>
      <c r="J269" t="s">
        <v>74</v>
      </c>
      <c r="K269" t="s">
        <v>152</v>
      </c>
      <c r="L269">
        <v>1</v>
      </c>
      <c r="M269" t="s">
        <v>956</v>
      </c>
      <c r="N269" t="s">
        <v>1413</v>
      </c>
    </row>
    <row r="270" spans="1:14" x14ac:dyDescent="0.2">
      <c r="A270" t="str">
        <f t="shared" si="4"/>
        <v>2023-3-ASB-PR-LE-2-16S</v>
      </c>
      <c r="B270" t="s">
        <v>854</v>
      </c>
      <c r="C270" s="74" t="s">
        <v>448</v>
      </c>
      <c r="D270" s="88">
        <v>45161</v>
      </c>
      <c r="E270" t="s">
        <v>964</v>
      </c>
      <c r="F270" t="s">
        <v>551</v>
      </c>
      <c r="G270" t="s">
        <v>16</v>
      </c>
      <c r="H270" t="s">
        <v>548</v>
      </c>
      <c r="I270" t="s">
        <v>960</v>
      </c>
      <c r="J270" t="s">
        <v>74</v>
      </c>
      <c r="K270" t="s">
        <v>152</v>
      </c>
      <c r="L270">
        <v>2</v>
      </c>
      <c r="M270" t="s">
        <v>956</v>
      </c>
      <c r="N270" t="s">
        <v>1413</v>
      </c>
    </row>
    <row r="271" spans="1:14" x14ac:dyDescent="0.2">
      <c r="A271" t="str">
        <f t="shared" si="4"/>
        <v>2023-3-ASB-PR-LE-3-16S</v>
      </c>
      <c r="B271" t="s">
        <v>567</v>
      </c>
      <c r="C271" s="74" t="s">
        <v>449</v>
      </c>
      <c r="D271" s="88">
        <v>45161</v>
      </c>
      <c r="E271" t="s">
        <v>964</v>
      </c>
      <c r="F271" t="s">
        <v>551</v>
      </c>
      <c r="G271" t="s">
        <v>16</v>
      </c>
      <c r="H271" t="s">
        <v>548</v>
      </c>
      <c r="I271" t="s">
        <v>960</v>
      </c>
      <c r="J271" t="s">
        <v>74</v>
      </c>
      <c r="K271" t="s">
        <v>152</v>
      </c>
      <c r="L271">
        <v>3</v>
      </c>
      <c r="M271" t="s">
        <v>956</v>
      </c>
      <c r="N271" t="s">
        <v>1413</v>
      </c>
    </row>
    <row r="272" spans="1:14" x14ac:dyDescent="0.2">
      <c r="A272" t="str">
        <f t="shared" si="4"/>
        <v>2023-3-ASB-HC-LE-1-16S</v>
      </c>
      <c r="B272" t="s">
        <v>855</v>
      </c>
      <c r="C272" s="74" t="s">
        <v>450</v>
      </c>
      <c r="D272" s="88">
        <v>45161</v>
      </c>
      <c r="E272" t="s">
        <v>964</v>
      </c>
      <c r="F272" t="s">
        <v>551</v>
      </c>
      <c r="G272" t="s">
        <v>16</v>
      </c>
      <c r="H272" t="s">
        <v>548</v>
      </c>
      <c r="I272" t="s">
        <v>960</v>
      </c>
      <c r="J272" t="s">
        <v>51</v>
      </c>
      <c r="K272" t="s">
        <v>152</v>
      </c>
      <c r="L272">
        <v>1</v>
      </c>
      <c r="M272" t="s">
        <v>957</v>
      </c>
      <c r="N272" t="s">
        <v>1413</v>
      </c>
    </row>
    <row r="273" spans="1:14" x14ac:dyDescent="0.2">
      <c r="A273" t="str">
        <f t="shared" si="4"/>
        <v>2023-3-ASB-HC-LE-2-16S</v>
      </c>
      <c r="B273" t="s">
        <v>856</v>
      </c>
      <c r="C273" s="74" t="s">
        <v>451</v>
      </c>
      <c r="D273" s="88">
        <v>45161</v>
      </c>
      <c r="E273" t="s">
        <v>964</v>
      </c>
      <c r="F273" t="s">
        <v>551</v>
      </c>
      <c r="G273" t="s">
        <v>16</v>
      </c>
      <c r="H273" t="s">
        <v>548</v>
      </c>
      <c r="I273" t="s">
        <v>960</v>
      </c>
      <c r="J273" t="s">
        <v>51</v>
      </c>
      <c r="K273" t="s">
        <v>152</v>
      </c>
      <c r="L273">
        <v>2</v>
      </c>
      <c r="M273" t="s">
        <v>957</v>
      </c>
      <c r="N273" t="s">
        <v>1413</v>
      </c>
    </row>
    <row r="274" spans="1:14" x14ac:dyDescent="0.2">
      <c r="A274" t="str">
        <f t="shared" si="4"/>
        <v>2023-3-ASB-HC-LE-3-16S</v>
      </c>
      <c r="B274" t="s">
        <v>571</v>
      </c>
      <c r="C274" s="74" t="s">
        <v>452</v>
      </c>
      <c r="D274" s="88">
        <v>45161</v>
      </c>
      <c r="E274" t="s">
        <v>964</v>
      </c>
      <c r="F274" t="s">
        <v>551</v>
      </c>
      <c r="G274" t="s">
        <v>16</v>
      </c>
      <c r="H274" t="s">
        <v>548</v>
      </c>
      <c r="I274" t="s">
        <v>960</v>
      </c>
      <c r="J274" t="s">
        <v>51</v>
      </c>
      <c r="K274" t="s">
        <v>152</v>
      </c>
      <c r="L274">
        <v>3</v>
      </c>
      <c r="M274" t="s">
        <v>957</v>
      </c>
      <c r="N274" t="s">
        <v>1413</v>
      </c>
    </row>
    <row r="275" spans="1:14" x14ac:dyDescent="0.2">
      <c r="A275" t="str">
        <f t="shared" si="4"/>
        <v>2023-3-ASB-SP-LE-1-16S</v>
      </c>
      <c r="B275" t="s">
        <v>857</v>
      </c>
      <c r="C275" s="74" t="s">
        <v>453</v>
      </c>
      <c r="D275" s="88">
        <v>45161</v>
      </c>
      <c r="E275" t="s">
        <v>964</v>
      </c>
      <c r="F275" t="s">
        <v>551</v>
      </c>
      <c r="G275" t="s">
        <v>16</v>
      </c>
      <c r="H275" t="s">
        <v>548</v>
      </c>
      <c r="I275" t="s">
        <v>960</v>
      </c>
      <c r="J275" t="s">
        <v>60</v>
      </c>
      <c r="K275" t="s">
        <v>152</v>
      </c>
      <c r="L275">
        <v>1</v>
      </c>
      <c r="M275" t="s">
        <v>957</v>
      </c>
      <c r="N275" t="s">
        <v>1413</v>
      </c>
    </row>
    <row r="276" spans="1:14" x14ac:dyDescent="0.2">
      <c r="A276" t="str">
        <f t="shared" si="4"/>
        <v>2023-3-ASB-SP-LE-2-16S</v>
      </c>
      <c r="B276" t="s">
        <v>858</v>
      </c>
      <c r="C276" s="74" t="s">
        <v>454</v>
      </c>
      <c r="D276" s="88">
        <v>45161</v>
      </c>
      <c r="E276" t="s">
        <v>964</v>
      </c>
      <c r="F276" t="s">
        <v>551</v>
      </c>
      <c r="G276" t="s">
        <v>16</v>
      </c>
      <c r="H276" t="s">
        <v>548</v>
      </c>
      <c r="I276" t="s">
        <v>960</v>
      </c>
      <c r="J276" t="s">
        <v>60</v>
      </c>
      <c r="K276" t="s">
        <v>152</v>
      </c>
      <c r="L276">
        <v>2</v>
      </c>
      <c r="M276" t="s">
        <v>957</v>
      </c>
      <c r="N276" t="s">
        <v>1413</v>
      </c>
    </row>
    <row r="277" spans="1:14" x14ac:dyDescent="0.2">
      <c r="A277" t="str">
        <f t="shared" si="4"/>
        <v>2023-3-ASB-SP-LE-3-16S</v>
      </c>
      <c r="B277" t="s">
        <v>583</v>
      </c>
      <c r="C277" s="74" t="s">
        <v>455</v>
      </c>
      <c r="D277" s="88">
        <v>45161</v>
      </c>
      <c r="E277" t="s">
        <v>964</v>
      </c>
      <c r="F277" t="s">
        <v>551</v>
      </c>
      <c r="G277" t="s">
        <v>16</v>
      </c>
      <c r="H277" t="s">
        <v>548</v>
      </c>
      <c r="I277" t="s">
        <v>960</v>
      </c>
      <c r="J277" t="s">
        <v>60</v>
      </c>
      <c r="K277" t="s">
        <v>152</v>
      </c>
      <c r="L277">
        <v>3</v>
      </c>
      <c r="M277" t="s">
        <v>957</v>
      </c>
      <c r="N277" t="s">
        <v>1413</v>
      </c>
    </row>
    <row r="278" spans="1:14" x14ac:dyDescent="0.2">
      <c r="A278" t="str">
        <f t="shared" si="4"/>
        <v>2023-3-ASB-LI-LE-1-16S</v>
      </c>
      <c r="B278" t="s">
        <v>859</v>
      </c>
      <c r="C278" s="74" t="s">
        <v>456</v>
      </c>
      <c r="D278" s="88">
        <v>45161</v>
      </c>
      <c r="E278" t="s">
        <v>964</v>
      </c>
      <c r="F278" t="s">
        <v>551</v>
      </c>
      <c r="G278" t="s">
        <v>16</v>
      </c>
      <c r="H278" t="s">
        <v>548</v>
      </c>
      <c r="I278" t="s">
        <v>960</v>
      </c>
      <c r="J278" t="s">
        <v>36</v>
      </c>
      <c r="K278" t="s">
        <v>152</v>
      </c>
      <c r="L278">
        <v>1</v>
      </c>
      <c r="M278" t="s">
        <v>958</v>
      </c>
      <c r="N278" t="s">
        <v>1413</v>
      </c>
    </row>
    <row r="279" spans="1:14" x14ac:dyDescent="0.2">
      <c r="A279" t="str">
        <f t="shared" si="4"/>
        <v>2023-3-ASB-LI-LE-2-16S</v>
      </c>
      <c r="B279" t="s">
        <v>860</v>
      </c>
      <c r="C279" s="74" t="s">
        <v>457</v>
      </c>
      <c r="D279" s="88">
        <v>45161</v>
      </c>
      <c r="E279" t="s">
        <v>964</v>
      </c>
      <c r="F279" t="s">
        <v>551</v>
      </c>
      <c r="G279" t="s">
        <v>16</v>
      </c>
      <c r="H279" t="s">
        <v>548</v>
      </c>
      <c r="I279" t="s">
        <v>960</v>
      </c>
      <c r="J279" t="s">
        <v>36</v>
      </c>
      <c r="K279" t="s">
        <v>152</v>
      </c>
      <c r="L279">
        <v>2</v>
      </c>
      <c r="M279" t="s">
        <v>958</v>
      </c>
      <c r="N279" t="s">
        <v>1413</v>
      </c>
    </row>
    <row r="280" spans="1:14" x14ac:dyDescent="0.2">
      <c r="A280" t="str">
        <f t="shared" si="4"/>
        <v>2023-3-ASB-LI-LE-3-16S</v>
      </c>
      <c r="B280" t="s">
        <v>587</v>
      </c>
      <c r="C280" s="74" t="s">
        <v>458</v>
      </c>
      <c r="D280" s="88">
        <v>45161</v>
      </c>
      <c r="E280" t="s">
        <v>964</v>
      </c>
      <c r="F280" t="s">
        <v>551</v>
      </c>
      <c r="G280" t="s">
        <v>16</v>
      </c>
      <c r="H280" t="s">
        <v>548</v>
      </c>
      <c r="I280" t="s">
        <v>960</v>
      </c>
      <c r="J280" t="s">
        <v>36</v>
      </c>
      <c r="K280" t="s">
        <v>152</v>
      </c>
      <c r="L280">
        <v>3</v>
      </c>
      <c r="M280" t="s">
        <v>958</v>
      </c>
      <c r="N280" t="s">
        <v>1413</v>
      </c>
    </row>
    <row r="281" spans="1:14" x14ac:dyDescent="0.2">
      <c r="A281" t="str">
        <f t="shared" si="4"/>
        <v>2023-3-ASB-EM-LE-1-16S</v>
      </c>
      <c r="B281" t="s">
        <v>861</v>
      </c>
      <c r="C281" s="74" t="s">
        <v>459</v>
      </c>
      <c r="D281" s="88">
        <v>45161</v>
      </c>
      <c r="E281" t="s">
        <v>964</v>
      </c>
      <c r="F281" t="s">
        <v>551</v>
      </c>
      <c r="G281" t="s">
        <v>16</v>
      </c>
      <c r="H281" t="s">
        <v>548</v>
      </c>
      <c r="I281" t="s">
        <v>960</v>
      </c>
      <c r="J281" t="s">
        <v>45</v>
      </c>
      <c r="K281" t="s">
        <v>152</v>
      </c>
      <c r="L281">
        <v>1</v>
      </c>
      <c r="M281" t="s">
        <v>958</v>
      </c>
      <c r="N281" t="s">
        <v>1413</v>
      </c>
    </row>
    <row r="282" spans="1:14" x14ac:dyDescent="0.2">
      <c r="A282" t="str">
        <f t="shared" si="4"/>
        <v>2023-3-ASB-EM-LE-2-16S</v>
      </c>
      <c r="B282" t="s">
        <v>862</v>
      </c>
      <c r="C282" s="74" t="s">
        <v>460</v>
      </c>
      <c r="D282" s="88">
        <v>45161</v>
      </c>
      <c r="E282" t="s">
        <v>964</v>
      </c>
      <c r="F282" t="s">
        <v>551</v>
      </c>
      <c r="G282" t="s">
        <v>16</v>
      </c>
      <c r="H282" t="s">
        <v>548</v>
      </c>
      <c r="I282" t="s">
        <v>960</v>
      </c>
      <c r="J282" t="s">
        <v>45</v>
      </c>
      <c r="K282" t="s">
        <v>152</v>
      </c>
      <c r="L282">
        <v>2</v>
      </c>
      <c r="M282" t="s">
        <v>958</v>
      </c>
      <c r="N282" t="s">
        <v>1413</v>
      </c>
    </row>
    <row r="283" spans="1:14" x14ac:dyDescent="0.2">
      <c r="A283" t="str">
        <f t="shared" si="4"/>
        <v>2023-3-ASB-EM-LE-3-16S</v>
      </c>
      <c r="B283" t="s">
        <v>591</v>
      </c>
      <c r="C283" s="74" t="s">
        <v>461</v>
      </c>
      <c r="D283" s="88">
        <v>45161</v>
      </c>
      <c r="E283" t="s">
        <v>964</v>
      </c>
      <c r="F283" t="s">
        <v>551</v>
      </c>
      <c r="G283" t="s">
        <v>16</v>
      </c>
      <c r="H283" t="s">
        <v>548</v>
      </c>
      <c r="I283" t="s">
        <v>960</v>
      </c>
      <c r="J283" t="s">
        <v>45</v>
      </c>
      <c r="K283" t="s">
        <v>152</v>
      </c>
      <c r="L283">
        <v>3</v>
      </c>
      <c r="M283" t="s">
        <v>958</v>
      </c>
      <c r="N283" t="s">
        <v>1413</v>
      </c>
    </row>
    <row r="284" spans="1:14" x14ac:dyDescent="0.2">
      <c r="A284" t="str">
        <f t="shared" si="4"/>
        <v>2023-3-PMB-CL-LE-1-16S</v>
      </c>
      <c r="B284" t="s">
        <v>863</v>
      </c>
      <c r="C284" s="74" t="s">
        <v>462</v>
      </c>
      <c r="D284" s="88">
        <v>45159</v>
      </c>
      <c r="E284" t="s">
        <v>964</v>
      </c>
      <c r="F284" t="s">
        <v>8</v>
      </c>
      <c r="G284" t="s">
        <v>9</v>
      </c>
      <c r="H284" t="s">
        <v>545</v>
      </c>
      <c r="I284" t="s">
        <v>960</v>
      </c>
      <c r="J284" t="s">
        <v>43</v>
      </c>
      <c r="K284" t="s">
        <v>152</v>
      </c>
      <c r="L284">
        <v>1</v>
      </c>
      <c r="M284" t="s">
        <v>956</v>
      </c>
      <c r="N284" t="s">
        <v>1413</v>
      </c>
    </row>
    <row r="285" spans="1:14" x14ac:dyDescent="0.2">
      <c r="A285" t="str">
        <f t="shared" si="4"/>
        <v>2023-3-PMB-CL-LE-2-16S</v>
      </c>
      <c r="B285" t="s">
        <v>864</v>
      </c>
      <c r="C285" s="74" t="s">
        <v>463</v>
      </c>
      <c r="D285" s="88">
        <v>45159</v>
      </c>
      <c r="E285" t="s">
        <v>964</v>
      </c>
      <c r="F285" t="s">
        <v>8</v>
      </c>
      <c r="G285" t="s">
        <v>9</v>
      </c>
      <c r="H285" t="s">
        <v>545</v>
      </c>
      <c r="I285" t="s">
        <v>960</v>
      </c>
      <c r="J285" t="s">
        <v>43</v>
      </c>
      <c r="K285" t="s">
        <v>152</v>
      </c>
      <c r="L285">
        <v>2</v>
      </c>
      <c r="M285" t="s">
        <v>956</v>
      </c>
      <c r="N285" t="s">
        <v>1413</v>
      </c>
    </row>
    <row r="286" spans="1:14" x14ac:dyDescent="0.2">
      <c r="A286" t="str">
        <f t="shared" si="4"/>
        <v>2023-3-PMB-CL-LE-3-16S</v>
      </c>
      <c r="B286" t="s">
        <v>607</v>
      </c>
      <c r="C286" s="74" t="s">
        <v>464</v>
      </c>
      <c r="D286" s="88">
        <v>45159</v>
      </c>
      <c r="E286" t="s">
        <v>964</v>
      </c>
      <c r="F286" t="s">
        <v>8</v>
      </c>
      <c r="G286" t="s">
        <v>9</v>
      </c>
      <c r="H286" t="s">
        <v>545</v>
      </c>
      <c r="I286" t="s">
        <v>960</v>
      </c>
      <c r="J286" t="s">
        <v>43</v>
      </c>
      <c r="K286" t="s">
        <v>152</v>
      </c>
      <c r="L286">
        <v>3</v>
      </c>
      <c r="M286" t="s">
        <v>956</v>
      </c>
      <c r="N286" t="s">
        <v>1413</v>
      </c>
    </row>
    <row r="287" spans="1:14" x14ac:dyDescent="0.2">
      <c r="A287" t="str">
        <f t="shared" si="4"/>
        <v>2023-3-PMB-PR-LE-1-16S</v>
      </c>
      <c r="B287" t="s">
        <v>865</v>
      </c>
      <c r="C287" s="74" t="s">
        <v>465</v>
      </c>
      <c r="D287" s="88">
        <v>45159</v>
      </c>
      <c r="E287" t="s">
        <v>964</v>
      </c>
      <c r="F287" t="s">
        <v>8</v>
      </c>
      <c r="G287" t="s">
        <v>9</v>
      </c>
      <c r="H287" t="s">
        <v>545</v>
      </c>
      <c r="I287" t="s">
        <v>960</v>
      </c>
      <c r="J287" t="s">
        <v>74</v>
      </c>
      <c r="K287" t="s">
        <v>152</v>
      </c>
      <c r="L287">
        <v>1</v>
      </c>
      <c r="M287" t="s">
        <v>956</v>
      </c>
      <c r="N287" t="s">
        <v>1413</v>
      </c>
    </row>
    <row r="288" spans="1:14" x14ac:dyDescent="0.2">
      <c r="A288" t="str">
        <f t="shared" si="4"/>
        <v>2023-3-PMB-PR-LE-2-16S</v>
      </c>
      <c r="B288" t="s">
        <v>866</v>
      </c>
      <c r="C288" s="74" t="s">
        <v>466</v>
      </c>
      <c r="D288" s="88">
        <v>45159</v>
      </c>
      <c r="E288" t="s">
        <v>964</v>
      </c>
      <c r="F288" t="s">
        <v>8</v>
      </c>
      <c r="G288" t="s">
        <v>9</v>
      </c>
      <c r="H288" t="s">
        <v>545</v>
      </c>
      <c r="I288" t="s">
        <v>960</v>
      </c>
      <c r="J288" t="s">
        <v>74</v>
      </c>
      <c r="K288" t="s">
        <v>152</v>
      </c>
      <c r="L288">
        <v>2</v>
      </c>
      <c r="M288" t="s">
        <v>956</v>
      </c>
      <c r="N288" t="s">
        <v>1413</v>
      </c>
    </row>
    <row r="289" spans="1:14" x14ac:dyDescent="0.2">
      <c r="A289" t="str">
        <f t="shared" si="4"/>
        <v>2023-3-PMB-PR-LE-3-16S</v>
      </c>
      <c r="B289" t="s">
        <v>614</v>
      </c>
      <c r="C289" s="74" t="s">
        <v>467</v>
      </c>
      <c r="D289" s="88">
        <v>45159</v>
      </c>
      <c r="E289" t="s">
        <v>964</v>
      </c>
      <c r="F289" t="s">
        <v>8</v>
      </c>
      <c r="G289" t="s">
        <v>9</v>
      </c>
      <c r="H289" t="s">
        <v>545</v>
      </c>
      <c r="I289" t="s">
        <v>960</v>
      </c>
      <c r="J289" t="s">
        <v>74</v>
      </c>
      <c r="K289" t="s">
        <v>152</v>
      </c>
      <c r="L289">
        <v>3</v>
      </c>
      <c r="M289" t="s">
        <v>956</v>
      </c>
      <c r="N289" t="s">
        <v>1413</v>
      </c>
    </row>
    <row r="290" spans="1:14" x14ac:dyDescent="0.2">
      <c r="A290" t="str">
        <f t="shared" si="4"/>
        <v>2023-3-PMB-HC-LE-1-16S</v>
      </c>
      <c r="B290" t="s">
        <v>867</v>
      </c>
      <c r="C290" s="74" t="s">
        <v>468</v>
      </c>
      <c r="D290" s="88">
        <v>45159</v>
      </c>
      <c r="E290" t="s">
        <v>964</v>
      </c>
      <c r="F290" t="s">
        <v>8</v>
      </c>
      <c r="G290" t="s">
        <v>9</v>
      </c>
      <c r="H290" t="s">
        <v>545</v>
      </c>
      <c r="I290" t="s">
        <v>960</v>
      </c>
      <c r="J290" t="s">
        <v>51</v>
      </c>
      <c r="K290" t="s">
        <v>152</v>
      </c>
      <c r="L290">
        <v>1</v>
      </c>
      <c r="M290" t="s">
        <v>957</v>
      </c>
      <c r="N290" t="s">
        <v>1413</v>
      </c>
    </row>
    <row r="291" spans="1:14" x14ac:dyDescent="0.2">
      <c r="A291" t="str">
        <f t="shared" si="4"/>
        <v>2023-3-PMB-HC-LE-2-16S</v>
      </c>
      <c r="B291" t="s">
        <v>868</v>
      </c>
      <c r="C291" s="74" t="s">
        <v>469</v>
      </c>
      <c r="D291" s="88">
        <v>45159</v>
      </c>
      <c r="E291" t="s">
        <v>964</v>
      </c>
      <c r="F291" t="s">
        <v>8</v>
      </c>
      <c r="G291" t="s">
        <v>9</v>
      </c>
      <c r="H291" t="s">
        <v>545</v>
      </c>
      <c r="I291" t="s">
        <v>960</v>
      </c>
      <c r="J291" t="s">
        <v>51</v>
      </c>
      <c r="K291" t="s">
        <v>152</v>
      </c>
      <c r="L291">
        <v>2</v>
      </c>
      <c r="M291" t="s">
        <v>957</v>
      </c>
      <c r="N291" t="s">
        <v>1413</v>
      </c>
    </row>
    <row r="292" spans="1:14" x14ac:dyDescent="0.2">
      <c r="A292" t="str">
        <f t="shared" si="4"/>
        <v>2023-3-PMB-HC-LE-3-16S</v>
      </c>
      <c r="B292" t="s">
        <v>623</v>
      </c>
      <c r="C292" s="74" t="s">
        <v>470</v>
      </c>
      <c r="D292" s="88">
        <v>45159</v>
      </c>
      <c r="E292" t="s">
        <v>964</v>
      </c>
      <c r="F292" t="s">
        <v>8</v>
      </c>
      <c r="G292" t="s">
        <v>9</v>
      </c>
      <c r="H292" t="s">
        <v>545</v>
      </c>
      <c r="I292" t="s">
        <v>960</v>
      </c>
      <c r="J292" t="s">
        <v>51</v>
      </c>
      <c r="K292" t="s">
        <v>152</v>
      </c>
      <c r="L292">
        <v>3</v>
      </c>
      <c r="M292" t="s">
        <v>957</v>
      </c>
      <c r="N292" t="s">
        <v>1413</v>
      </c>
    </row>
    <row r="293" spans="1:14" x14ac:dyDescent="0.2">
      <c r="A293" t="str">
        <f t="shared" si="4"/>
        <v>2023-3-PMB-SP-LE-1-16S</v>
      </c>
      <c r="B293" t="s">
        <v>869</v>
      </c>
      <c r="C293" s="74" t="s">
        <v>471</v>
      </c>
      <c r="D293" s="88">
        <v>45159</v>
      </c>
      <c r="E293" t="s">
        <v>964</v>
      </c>
      <c r="F293" t="s">
        <v>8</v>
      </c>
      <c r="G293" t="s">
        <v>9</v>
      </c>
      <c r="H293" t="s">
        <v>545</v>
      </c>
      <c r="I293" t="s">
        <v>960</v>
      </c>
      <c r="J293" t="s">
        <v>60</v>
      </c>
      <c r="K293" t="s">
        <v>152</v>
      </c>
      <c r="L293">
        <v>1</v>
      </c>
      <c r="M293" t="s">
        <v>957</v>
      </c>
      <c r="N293" t="s">
        <v>1413</v>
      </c>
    </row>
    <row r="294" spans="1:14" x14ac:dyDescent="0.2">
      <c r="A294" t="str">
        <f t="shared" si="4"/>
        <v>2023-3-PMB-SP-LE-2-16S</v>
      </c>
      <c r="B294" t="s">
        <v>870</v>
      </c>
      <c r="C294" s="74" t="s">
        <v>472</v>
      </c>
      <c r="D294" s="88">
        <v>45159</v>
      </c>
      <c r="E294" t="s">
        <v>964</v>
      </c>
      <c r="F294" t="s">
        <v>8</v>
      </c>
      <c r="G294" t="s">
        <v>9</v>
      </c>
      <c r="H294" t="s">
        <v>545</v>
      </c>
      <c r="I294" t="s">
        <v>960</v>
      </c>
      <c r="J294" t="s">
        <v>60</v>
      </c>
      <c r="K294" t="s">
        <v>152</v>
      </c>
      <c r="L294">
        <v>2</v>
      </c>
      <c r="M294" t="s">
        <v>957</v>
      </c>
      <c r="N294" t="s">
        <v>1413</v>
      </c>
    </row>
    <row r="295" spans="1:14" x14ac:dyDescent="0.2">
      <c r="A295" t="str">
        <f t="shared" si="4"/>
        <v>2023-3-PMB-SP-LE-3-16S</v>
      </c>
      <c r="B295" t="s">
        <v>631</v>
      </c>
      <c r="C295" s="74" t="s">
        <v>473</v>
      </c>
      <c r="D295" s="88">
        <v>45159</v>
      </c>
      <c r="E295" t="s">
        <v>964</v>
      </c>
      <c r="F295" t="s">
        <v>8</v>
      </c>
      <c r="G295" t="s">
        <v>9</v>
      </c>
      <c r="H295" t="s">
        <v>545</v>
      </c>
      <c r="I295" t="s">
        <v>960</v>
      </c>
      <c r="J295" t="s">
        <v>60</v>
      </c>
      <c r="K295" t="s">
        <v>152</v>
      </c>
      <c r="L295">
        <v>3</v>
      </c>
      <c r="M295" t="s">
        <v>957</v>
      </c>
      <c r="N295" t="s">
        <v>1413</v>
      </c>
    </row>
    <row r="296" spans="1:14" x14ac:dyDescent="0.2">
      <c r="A296" t="str">
        <f t="shared" si="4"/>
        <v>2023-3-PMB-LI-LE-1-16S</v>
      </c>
      <c r="B296" t="s">
        <v>871</v>
      </c>
      <c r="C296" s="74" t="s">
        <v>474</v>
      </c>
      <c r="D296" s="88">
        <v>45159</v>
      </c>
      <c r="E296" t="s">
        <v>964</v>
      </c>
      <c r="F296" t="s">
        <v>8</v>
      </c>
      <c r="G296" t="s">
        <v>9</v>
      </c>
      <c r="H296" t="s">
        <v>545</v>
      </c>
      <c r="I296" t="s">
        <v>960</v>
      </c>
      <c r="J296" t="s">
        <v>36</v>
      </c>
      <c r="K296" t="s">
        <v>152</v>
      </c>
      <c r="L296">
        <v>1</v>
      </c>
      <c r="M296" t="s">
        <v>958</v>
      </c>
      <c r="N296" t="s">
        <v>1413</v>
      </c>
    </row>
    <row r="297" spans="1:14" x14ac:dyDescent="0.2">
      <c r="A297" t="str">
        <f t="shared" si="4"/>
        <v>2023-3-PMB-LI-LE-2-16S</v>
      </c>
      <c r="B297" t="s">
        <v>872</v>
      </c>
      <c r="C297" s="74" t="s">
        <v>475</v>
      </c>
      <c r="D297" s="88">
        <v>45159</v>
      </c>
      <c r="E297" t="s">
        <v>964</v>
      </c>
      <c r="F297" t="s">
        <v>8</v>
      </c>
      <c r="G297" t="s">
        <v>9</v>
      </c>
      <c r="H297" t="s">
        <v>545</v>
      </c>
      <c r="I297" t="s">
        <v>960</v>
      </c>
      <c r="J297" t="s">
        <v>36</v>
      </c>
      <c r="K297" t="s">
        <v>152</v>
      </c>
      <c r="L297">
        <v>2</v>
      </c>
      <c r="M297" t="s">
        <v>958</v>
      </c>
      <c r="N297" t="s">
        <v>1413</v>
      </c>
    </row>
    <row r="298" spans="1:14" x14ac:dyDescent="0.2">
      <c r="A298" t="str">
        <f t="shared" si="4"/>
        <v>2023-3-PMB-LI-LE-3-16S</v>
      </c>
      <c r="B298" t="s">
        <v>635</v>
      </c>
      <c r="C298" s="74" t="s">
        <v>476</v>
      </c>
      <c r="D298" s="88">
        <v>45159</v>
      </c>
      <c r="E298" t="s">
        <v>964</v>
      </c>
      <c r="F298" t="s">
        <v>8</v>
      </c>
      <c r="G298" t="s">
        <v>9</v>
      </c>
      <c r="H298" t="s">
        <v>545</v>
      </c>
      <c r="I298" t="s">
        <v>960</v>
      </c>
      <c r="J298" t="s">
        <v>36</v>
      </c>
      <c r="K298" t="s">
        <v>152</v>
      </c>
      <c r="L298">
        <v>3</v>
      </c>
      <c r="M298" t="s">
        <v>958</v>
      </c>
      <c r="N298" t="s">
        <v>1413</v>
      </c>
    </row>
    <row r="299" spans="1:14" x14ac:dyDescent="0.2">
      <c r="A299" t="str">
        <f t="shared" si="4"/>
        <v>2023-3-PMB-EM-LE-1-16S</v>
      </c>
      <c r="B299" t="s">
        <v>873</v>
      </c>
      <c r="C299" s="74" t="s">
        <v>477</v>
      </c>
      <c r="D299" s="88">
        <v>45159</v>
      </c>
      <c r="E299" t="s">
        <v>964</v>
      </c>
      <c r="F299" t="s">
        <v>8</v>
      </c>
      <c r="G299" t="s">
        <v>9</v>
      </c>
      <c r="H299" t="s">
        <v>545</v>
      </c>
      <c r="I299" t="s">
        <v>960</v>
      </c>
      <c r="J299" t="s">
        <v>45</v>
      </c>
      <c r="K299" t="s">
        <v>152</v>
      </c>
      <c r="L299">
        <v>1</v>
      </c>
      <c r="M299" t="s">
        <v>958</v>
      </c>
      <c r="N299" t="s">
        <v>1413</v>
      </c>
    </row>
    <row r="300" spans="1:14" x14ac:dyDescent="0.2">
      <c r="A300" t="str">
        <f t="shared" si="4"/>
        <v>2023-3-PMB-EM-LE-2-16S</v>
      </c>
      <c r="B300" t="s">
        <v>874</v>
      </c>
      <c r="C300" s="74" t="s">
        <v>478</v>
      </c>
      <c r="D300" s="88">
        <v>45159</v>
      </c>
      <c r="E300" t="s">
        <v>964</v>
      </c>
      <c r="F300" t="s">
        <v>8</v>
      </c>
      <c r="G300" t="s">
        <v>9</v>
      </c>
      <c r="H300" t="s">
        <v>545</v>
      </c>
      <c r="I300" t="s">
        <v>960</v>
      </c>
      <c r="J300" t="s">
        <v>45</v>
      </c>
      <c r="K300" t="s">
        <v>152</v>
      </c>
      <c r="L300">
        <v>2</v>
      </c>
      <c r="M300" t="s">
        <v>958</v>
      </c>
      <c r="N300" t="s">
        <v>1413</v>
      </c>
    </row>
    <row r="301" spans="1:14" x14ac:dyDescent="0.2">
      <c r="A301" t="str">
        <f t="shared" si="4"/>
        <v>2023-3-PMB-EM-LE-3-16S</v>
      </c>
      <c r="B301" t="s">
        <v>639</v>
      </c>
      <c r="C301" s="74" t="s">
        <v>479</v>
      </c>
      <c r="D301" s="88">
        <v>45159</v>
      </c>
      <c r="E301" t="s">
        <v>964</v>
      </c>
      <c r="F301" t="s">
        <v>8</v>
      </c>
      <c r="G301" t="s">
        <v>9</v>
      </c>
      <c r="H301" t="s">
        <v>545</v>
      </c>
      <c r="I301" t="s">
        <v>960</v>
      </c>
      <c r="J301" t="s">
        <v>45</v>
      </c>
      <c r="K301" t="s">
        <v>152</v>
      </c>
      <c r="L301">
        <v>3</v>
      </c>
      <c r="M301" t="s">
        <v>958</v>
      </c>
      <c r="N301" t="s">
        <v>1413</v>
      </c>
    </row>
    <row r="302" spans="1:14" x14ac:dyDescent="0.2">
      <c r="A302" t="str">
        <f t="shared" si="4"/>
        <v>2023-3-PMB-SR-LE-1-16S</v>
      </c>
      <c r="B302" t="s">
        <v>875</v>
      </c>
      <c r="C302" s="74" t="s">
        <v>480</v>
      </c>
      <c r="D302" s="88">
        <v>45159</v>
      </c>
      <c r="E302" t="s">
        <v>964</v>
      </c>
      <c r="F302" t="s">
        <v>8</v>
      </c>
      <c r="G302" t="s">
        <v>9</v>
      </c>
      <c r="H302" t="s">
        <v>545</v>
      </c>
      <c r="I302" t="s">
        <v>960</v>
      </c>
      <c r="J302" t="s">
        <v>62</v>
      </c>
      <c r="K302" t="s">
        <v>152</v>
      </c>
      <c r="L302">
        <v>1</v>
      </c>
      <c r="M302" t="s">
        <v>957</v>
      </c>
      <c r="N302" t="s">
        <v>1413</v>
      </c>
    </row>
    <row r="303" spans="1:14" x14ac:dyDescent="0.2">
      <c r="A303" t="str">
        <f t="shared" si="4"/>
        <v>2023-3-PMB-SR-LE-2-16S</v>
      </c>
      <c r="B303" t="s">
        <v>876</v>
      </c>
      <c r="C303" s="74" t="s">
        <v>481</v>
      </c>
      <c r="D303" s="88">
        <v>45159</v>
      </c>
      <c r="E303" t="s">
        <v>964</v>
      </c>
      <c r="F303" t="s">
        <v>8</v>
      </c>
      <c r="G303" t="s">
        <v>9</v>
      </c>
      <c r="H303" t="s">
        <v>545</v>
      </c>
      <c r="I303" t="s">
        <v>960</v>
      </c>
      <c r="J303" t="s">
        <v>62</v>
      </c>
      <c r="K303" t="s">
        <v>152</v>
      </c>
      <c r="L303">
        <v>2</v>
      </c>
      <c r="M303" t="s">
        <v>957</v>
      </c>
      <c r="N303" t="s">
        <v>1413</v>
      </c>
    </row>
    <row r="304" spans="1:14" x14ac:dyDescent="0.2">
      <c r="A304" t="str">
        <f t="shared" si="4"/>
        <v>2023-3-PMB-SR-LE-3-16S</v>
      </c>
      <c r="B304" t="s">
        <v>695</v>
      </c>
      <c r="C304" s="74" t="s">
        <v>482</v>
      </c>
      <c r="D304" s="88">
        <v>45159</v>
      </c>
      <c r="E304" t="s">
        <v>964</v>
      </c>
      <c r="F304" t="s">
        <v>8</v>
      </c>
      <c r="G304" t="s">
        <v>9</v>
      </c>
      <c r="H304" t="s">
        <v>545</v>
      </c>
      <c r="I304" t="s">
        <v>960</v>
      </c>
      <c r="J304" t="s">
        <v>62</v>
      </c>
      <c r="K304" t="s">
        <v>152</v>
      </c>
      <c r="L304">
        <v>3</v>
      </c>
      <c r="M304" t="s">
        <v>957</v>
      </c>
      <c r="N304" t="s">
        <v>1413</v>
      </c>
    </row>
    <row r="305" spans="1:14" x14ac:dyDescent="0.2">
      <c r="A305" t="str">
        <f t="shared" si="4"/>
        <v>2023-3-COM-HC-LE-1-16S</v>
      </c>
      <c r="B305" t="s">
        <v>877</v>
      </c>
      <c r="C305" s="74" t="s">
        <v>483</v>
      </c>
      <c r="D305" s="88">
        <v>45159</v>
      </c>
      <c r="E305" t="s">
        <v>964</v>
      </c>
      <c r="F305" t="s">
        <v>90</v>
      </c>
      <c r="G305" t="s">
        <v>96</v>
      </c>
      <c r="H305" t="s">
        <v>546</v>
      </c>
      <c r="I305" t="s">
        <v>961</v>
      </c>
      <c r="J305" t="s">
        <v>51</v>
      </c>
      <c r="K305" t="s">
        <v>152</v>
      </c>
      <c r="L305">
        <v>1</v>
      </c>
      <c r="M305" t="s">
        <v>957</v>
      </c>
      <c r="N305" t="s">
        <v>1413</v>
      </c>
    </row>
    <row r="306" spans="1:14" x14ac:dyDescent="0.2">
      <c r="A306" t="str">
        <f t="shared" si="4"/>
        <v>2023-3-COM-HC-LE-2-16S</v>
      </c>
      <c r="B306" t="s">
        <v>878</v>
      </c>
      <c r="C306" s="74" t="s">
        <v>484</v>
      </c>
      <c r="D306" s="88">
        <v>45159</v>
      </c>
      <c r="E306" t="s">
        <v>964</v>
      </c>
      <c r="F306" t="s">
        <v>90</v>
      </c>
      <c r="G306" t="s">
        <v>96</v>
      </c>
      <c r="H306" t="s">
        <v>546</v>
      </c>
      <c r="I306" t="s">
        <v>961</v>
      </c>
      <c r="J306" t="s">
        <v>51</v>
      </c>
      <c r="K306" t="s">
        <v>152</v>
      </c>
      <c r="L306">
        <v>2</v>
      </c>
      <c r="M306" t="s">
        <v>957</v>
      </c>
      <c r="N306" t="s">
        <v>1413</v>
      </c>
    </row>
    <row r="307" spans="1:14" x14ac:dyDescent="0.2">
      <c r="A307" t="str">
        <f t="shared" si="4"/>
        <v>2023-3-COM-HC-LE-3-16S</v>
      </c>
      <c r="B307" t="s">
        <v>706</v>
      </c>
      <c r="C307" s="74" t="s">
        <v>485</v>
      </c>
      <c r="D307" s="88">
        <v>45159</v>
      </c>
      <c r="E307" t="s">
        <v>964</v>
      </c>
      <c r="F307" t="s">
        <v>90</v>
      </c>
      <c r="G307" t="s">
        <v>96</v>
      </c>
      <c r="H307" t="s">
        <v>546</v>
      </c>
      <c r="I307" t="s">
        <v>961</v>
      </c>
      <c r="J307" t="s">
        <v>51</v>
      </c>
      <c r="K307" t="s">
        <v>152</v>
      </c>
      <c r="L307">
        <v>3</v>
      </c>
      <c r="M307" t="s">
        <v>957</v>
      </c>
      <c r="N307" t="s">
        <v>1413</v>
      </c>
    </row>
    <row r="308" spans="1:14" x14ac:dyDescent="0.2">
      <c r="A308" t="str">
        <f t="shared" si="4"/>
        <v>2023-3-COM-SP-LE-1-16S</v>
      </c>
      <c r="B308" t="s">
        <v>879</v>
      </c>
      <c r="C308" s="74" t="s">
        <v>486</v>
      </c>
      <c r="D308" s="88">
        <v>45159</v>
      </c>
      <c r="E308" t="s">
        <v>964</v>
      </c>
      <c r="F308" t="s">
        <v>90</v>
      </c>
      <c r="G308" t="s">
        <v>96</v>
      </c>
      <c r="H308" t="s">
        <v>546</v>
      </c>
      <c r="I308" t="s">
        <v>961</v>
      </c>
      <c r="J308" t="s">
        <v>60</v>
      </c>
      <c r="K308" t="s">
        <v>152</v>
      </c>
      <c r="L308">
        <v>1</v>
      </c>
      <c r="M308" t="s">
        <v>957</v>
      </c>
      <c r="N308" t="s">
        <v>1413</v>
      </c>
    </row>
    <row r="309" spans="1:14" x14ac:dyDescent="0.2">
      <c r="A309" t="str">
        <f t="shared" si="4"/>
        <v>2023-3-COM-SP-LE-2-16S</v>
      </c>
      <c r="B309" t="s">
        <v>880</v>
      </c>
      <c r="C309" s="74" t="s">
        <v>487</v>
      </c>
      <c r="D309" s="88">
        <v>45159</v>
      </c>
      <c r="E309" t="s">
        <v>964</v>
      </c>
      <c r="F309" t="s">
        <v>90</v>
      </c>
      <c r="G309" t="s">
        <v>96</v>
      </c>
      <c r="H309" t="s">
        <v>546</v>
      </c>
      <c r="I309" t="s">
        <v>961</v>
      </c>
      <c r="J309" t="s">
        <v>60</v>
      </c>
      <c r="K309" t="s">
        <v>152</v>
      </c>
      <c r="L309">
        <v>2</v>
      </c>
      <c r="M309" t="s">
        <v>957</v>
      </c>
      <c r="N309" t="s">
        <v>1413</v>
      </c>
    </row>
    <row r="310" spans="1:14" x14ac:dyDescent="0.2">
      <c r="A310" t="str">
        <f t="shared" si="4"/>
        <v>2023-3-COM-SP-LE-3-16S</v>
      </c>
      <c r="B310" t="s">
        <v>643</v>
      </c>
      <c r="C310" s="74" t="s">
        <v>488</v>
      </c>
      <c r="D310" s="88">
        <v>45159</v>
      </c>
      <c r="E310" t="s">
        <v>964</v>
      </c>
      <c r="F310" t="s">
        <v>90</v>
      </c>
      <c r="G310" t="s">
        <v>96</v>
      </c>
      <c r="H310" t="s">
        <v>546</v>
      </c>
      <c r="I310" t="s">
        <v>961</v>
      </c>
      <c r="J310" t="s">
        <v>60</v>
      </c>
      <c r="K310" t="s">
        <v>152</v>
      </c>
      <c r="L310">
        <v>3</v>
      </c>
      <c r="M310" t="s">
        <v>957</v>
      </c>
      <c r="N310" t="s">
        <v>1413</v>
      </c>
    </row>
    <row r="311" spans="1:14" x14ac:dyDescent="0.2">
      <c r="A311" t="str">
        <f t="shared" si="4"/>
        <v>2023-3-COM-EM-LE-1-16S</v>
      </c>
      <c r="B311" t="s">
        <v>881</v>
      </c>
      <c r="C311" s="74" t="s">
        <v>489</v>
      </c>
      <c r="D311" s="88">
        <v>45159</v>
      </c>
      <c r="E311" t="s">
        <v>964</v>
      </c>
      <c r="F311" t="s">
        <v>90</v>
      </c>
      <c r="G311" t="s">
        <v>96</v>
      </c>
      <c r="H311" t="s">
        <v>546</v>
      </c>
      <c r="I311" t="s">
        <v>961</v>
      </c>
      <c r="J311" t="s">
        <v>45</v>
      </c>
      <c r="K311" t="s">
        <v>152</v>
      </c>
      <c r="L311">
        <v>1</v>
      </c>
      <c r="M311" t="s">
        <v>958</v>
      </c>
      <c r="N311" t="s">
        <v>1413</v>
      </c>
    </row>
    <row r="312" spans="1:14" x14ac:dyDescent="0.2">
      <c r="A312" t="str">
        <f t="shared" si="4"/>
        <v>2023-3-COM-EM-LE-2-16S</v>
      </c>
      <c r="B312" t="s">
        <v>882</v>
      </c>
      <c r="C312" s="74" t="s">
        <v>490</v>
      </c>
      <c r="D312" s="88">
        <v>45159</v>
      </c>
      <c r="E312" t="s">
        <v>964</v>
      </c>
      <c r="F312" t="s">
        <v>90</v>
      </c>
      <c r="G312" t="s">
        <v>96</v>
      </c>
      <c r="H312" t="s">
        <v>546</v>
      </c>
      <c r="I312" t="s">
        <v>961</v>
      </c>
      <c r="J312" t="s">
        <v>45</v>
      </c>
      <c r="K312" t="s">
        <v>152</v>
      </c>
      <c r="L312">
        <v>2</v>
      </c>
      <c r="M312" t="s">
        <v>958</v>
      </c>
      <c r="N312" t="s">
        <v>1413</v>
      </c>
    </row>
    <row r="313" spans="1:14" x14ac:dyDescent="0.2">
      <c r="A313" t="str">
        <f t="shared" si="4"/>
        <v>2023-3-COM-EM-LE-3-16S</v>
      </c>
      <c r="B313" t="s">
        <v>647</v>
      </c>
      <c r="C313" s="74" t="s">
        <v>491</v>
      </c>
      <c r="D313" s="88">
        <v>45159</v>
      </c>
      <c r="E313" t="s">
        <v>964</v>
      </c>
      <c r="F313" t="s">
        <v>90</v>
      </c>
      <c r="G313" t="s">
        <v>96</v>
      </c>
      <c r="H313" t="s">
        <v>546</v>
      </c>
      <c r="I313" t="s">
        <v>961</v>
      </c>
      <c r="J313" t="s">
        <v>45</v>
      </c>
      <c r="K313" t="s">
        <v>152</v>
      </c>
      <c r="L313">
        <v>3</v>
      </c>
      <c r="M313" t="s">
        <v>958</v>
      </c>
      <c r="N313" t="s">
        <v>1413</v>
      </c>
    </row>
    <row r="314" spans="1:14" x14ac:dyDescent="0.2">
      <c r="A314" t="str">
        <f t="shared" si="4"/>
        <v>2023-3-COM-SR-LE-1-16S</v>
      </c>
      <c r="B314" t="s">
        <v>883</v>
      </c>
      <c r="C314" s="74" t="s">
        <v>492</v>
      </c>
      <c r="D314" s="88">
        <v>45159</v>
      </c>
      <c r="E314" t="s">
        <v>964</v>
      </c>
      <c r="F314" t="s">
        <v>90</v>
      </c>
      <c r="G314" t="s">
        <v>96</v>
      </c>
      <c r="H314" t="s">
        <v>546</v>
      </c>
      <c r="I314" t="s">
        <v>961</v>
      </c>
      <c r="J314" t="s">
        <v>62</v>
      </c>
      <c r="K314" t="s">
        <v>152</v>
      </c>
      <c r="L314">
        <v>1</v>
      </c>
      <c r="M314" t="s">
        <v>957</v>
      </c>
      <c r="N314" t="s">
        <v>1413</v>
      </c>
    </row>
    <row r="315" spans="1:14" x14ac:dyDescent="0.2">
      <c r="A315" t="str">
        <f t="shared" si="4"/>
        <v>2023-3-COM-SR-LE-2-16S</v>
      </c>
      <c r="B315" t="s">
        <v>884</v>
      </c>
      <c r="C315" s="74" t="s">
        <v>493</v>
      </c>
      <c r="D315" s="88">
        <v>45159</v>
      </c>
      <c r="E315" t="s">
        <v>964</v>
      </c>
      <c r="F315" t="s">
        <v>90</v>
      </c>
      <c r="G315" t="s">
        <v>96</v>
      </c>
      <c r="H315" t="s">
        <v>546</v>
      </c>
      <c r="I315" t="s">
        <v>961</v>
      </c>
      <c r="J315" t="s">
        <v>62</v>
      </c>
      <c r="K315" t="s">
        <v>152</v>
      </c>
      <c r="L315">
        <v>2</v>
      </c>
      <c r="M315" t="s">
        <v>957</v>
      </c>
      <c r="N315" t="s">
        <v>1413</v>
      </c>
    </row>
    <row r="316" spans="1:14" x14ac:dyDescent="0.2">
      <c r="A316" t="str">
        <f t="shared" si="4"/>
        <v>2023-3-COM-SR-LE-3-16S</v>
      </c>
      <c r="B316" t="s">
        <v>699</v>
      </c>
      <c r="C316" s="74" t="s">
        <v>494</v>
      </c>
      <c r="D316" s="88">
        <v>45159</v>
      </c>
      <c r="E316" t="s">
        <v>964</v>
      </c>
      <c r="F316" t="s">
        <v>90</v>
      </c>
      <c r="G316" t="s">
        <v>96</v>
      </c>
      <c r="H316" t="s">
        <v>546</v>
      </c>
      <c r="I316" t="s">
        <v>961</v>
      </c>
      <c r="J316" t="s">
        <v>62</v>
      </c>
      <c r="K316" t="s">
        <v>152</v>
      </c>
      <c r="L316">
        <v>3</v>
      </c>
      <c r="M316" t="s">
        <v>957</v>
      </c>
      <c r="N316" t="s">
        <v>1413</v>
      </c>
    </row>
    <row r="317" spans="1:14" x14ac:dyDescent="0.2">
      <c r="A317" t="str">
        <f t="shared" si="4"/>
        <v>2023-3-VBS-CL-LE-1-16S</v>
      </c>
      <c r="B317" t="s">
        <v>885</v>
      </c>
      <c r="C317" s="74" t="s">
        <v>495</v>
      </c>
      <c r="D317" s="88">
        <v>45159</v>
      </c>
      <c r="E317" t="s">
        <v>964</v>
      </c>
      <c r="F317" t="s">
        <v>549</v>
      </c>
      <c r="G317" t="s">
        <v>22</v>
      </c>
      <c r="H317" t="s">
        <v>547</v>
      </c>
      <c r="I317" t="s">
        <v>961</v>
      </c>
      <c r="J317" t="s">
        <v>43</v>
      </c>
      <c r="K317" t="s">
        <v>152</v>
      </c>
      <c r="L317">
        <v>1</v>
      </c>
      <c r="M317" t="s">
        <v>956</v>
      </c>
      <c r="N317" t="s">
        <v>1413</v>
      </c>
    </row>
    <row r="318" spans="1:14" x14ac:dyDescent="0.2">
      <c r="A318" t="str">
        <f t="shared" si="4"/>
        <v>2023-3-VBS-CL-LE-2-16S</v>
      </c>
      <c r="B318" t="s">
        <v>886</v>
      </c>
      <c r="C318" s="74" t="s">
        <v>496</v>
      </c>
      <c r="D318" s="88">
        <v>45159</v>
      </c>
      <c r="E318" t="s">
        <v>964</v>
      </c>
      <c r="F318" t="s">
        <v>549</v>
      </c>
      <c r="G318" t="s">
        <v>22</v>
      </c>
      <c r="H318" t="s">
        <v>547</v>
      </c>
      <c r="I318" t="s">
        <v>961</v>
      </c>
      <c r="J318" t="s">
        <v>43</v>
      </c>
      <c r="K318" t="s">
        <v>152</v>
      </c>
      <c r="L318">
        <v>2</v>
      </c>
      <c r="M318" t="s">
        <v>956</v>
      </c>
      <c r="N318" t="s">
        <v>1413</v>
      </c>
    </row>
    <row r="319" spans="1:14" x14ac:dyDescent="0.2">
      <c r="A319" t="str">
        <f t="shared" si="4"/>
        <v>2023-3-VBS-CL-LE-3-16S</v>
      </c>
      <c r="B319" t="s">
        <v>724</v>
      </c>
      <c r="C319" s="74" t="s">
        <v>497</v>
      </c>
      <c r="D319" s="88">
        <v>45159</v>
      </c>
      <c r="E319" t="s">
        <v>964</v>
      </c>
      <c r="F319" t="s">
        <v>549</v>
      </c>
      <c r="G319" t="s">
        <v>22</v>
      </c>
      <c r="H319" t="s">
        <v>547</v>
      </c>
      <c r="I319" t="s">
        <v>961</v>
      </c>
      <c r="J319" t="s">
        <v>43</v>
      </c>
      <c r="K319" t="s">
        <v>152</v>
      </c>
      <c r="L319">
        <v>3</v>
      </c>
      <c r="M319" t="s">
        <v>956</v>
      </c>
      <c r="N319" t="s">
        <v>1413</v>
      </c>
    </row>
    <row r="320" spans="1:14" x14ac:dyDescent="0.2">
      <c r="A320" t="str">
        <f t="shared" si="4"/>
        <v>2023-3-VBS-PR-LE-1-16S</v>
      </c>
      <c r="B320" t="s">
        <v>887</v>
      </c>
      <c r="C320" s="74" t="s">
        <v>498</v>
      </c>
      <c r="D320" s="88">
        <v>45159</v>
      </c>
      <c r="E320" t="s">
        <v>964</v>
      </c>
      <c r="F320" t="s">
        <v>549</v>
      </c>
      <c r="G320" t="s">
        <v>22</v>
      </c>
      <c r="H320" t="s">
        <v>547</v>
      </c>
      <c r="I320" t="s">
        <v>961</v>
      </c>
      <c r="J320" t="s">
        <v>74</v>
      </c>
      <c r="K320" t="s">
        <v>152</v>
      </c>
      <c r="L320">
        <v>1</v>
      </c>
      <c r="M320" t="s">
        <v>956</v>
      </c>
      <c r="N320" t="s">
        <v>1413</v>
      </c>
    </row>
    <row r="321" spans="1:14" x14ac:dyDescent="0.2">
      <c r="A321" t="str">
        <f t="shared" si="4"/>
        <v>2023-3-VBS-PR-LE-2-16S</v>
      </c>
      <c r="B321" t="s">
        <v>888</v>
      </c>
      <c r="C321" s="74" t="s">
        <v>499</v>
      </c>
      <c r="D321" s="88">
        <v>45159</v>
      </c>
      <c r="E321" t="s">
        <v>964</v>
      </c>
      <c r="F321" t="s">
        <v>549</v>
      </c>
      <c r="G321" t="s">
        <v>22</v>
      </c>
      <c r="H321" t="s">
        <v>547</v>
      </c>
      <c r="I321" t="s">
        <v>961</v>
      </c>
      <c r="J321" t="s">
        <v>74</v>
      </c>
      <c r="K321" t="s">
        <v>152</v>
      </c>
      <c r="L321">
        <v>2</v>
      </c>
      <c r="M321" t="s">
        <v>956</v>
      </c>
      <c r="N321" t="s">
        <v>1413</v>
      </c>
    </row>
    <row r="322" spans="1:14" x14ac:dyDescent="0.2">
      <c r="A322" t="str">
        <f t="shared" si="4"/>
        <v>2023-3-VBS-PR-LE-3-16S</v>
      </c>
      <c r="B322" t="s">
        <v>732</v>
      </c>
      <c r="C322" s="74" t="s">
        <v>500</v>
      </c>
      <c r="D322" s="88">
        <v>45159</v>
      </c>
      <c r="E322" t="s">
        <v>964</v>
      </c>
      <c r="F322" t="s">
        <v>549</v>
      </c>
      <c r="G322" t="s">
        <v>22</v>
      </c>
      <c r="H322" t="s">
        <v>547</v>
      </c>
      <c r="I322" t="s">
        <v>961</v>
      </c>
      <c r="J322" t="s">
        <v>74</v>
      </c>
      <c r="K322" t="s">
        <v>152</v>
      </c>
      <c r="L322">
        <v>3</v>
      </c>
      <c r="M322" t="s">
        <v>956</v>
      </c>
      <c r="N322" t="s">
        <v>1413</v>
      </c>
    </row>
    <row r="323" spans="1:14" x14ac:dyDescent="0.2">
      <c r="A323" t="str">
        <f t="shared" ref="A323:A364" si="5">"2023-"&amp;B323&amp;"-16S"</f>
        <v>2023-3-VBS-HC-LE-1-16S</v>
      </c>
      <c r="B323" t="s">
        <v>889</v>
      </c>
      <c r="C323" s="74" t="s">
        <v>501</v>
      </c>
      <c r="D323" s="88">
        <v>45159</v>
      </c>
      <c r="E323" t="s">
        <v>964</v>
      </c>
      <c r="F323" t="s">
        <v>549</v>
      </c>
      <c r="G323" t="s">
        <v>22</v>
      </c>
      <c r="H323" t="s">
        <v>547</v>
      </c>
      <c r="I323" t="s">
        <v>961</v>
      </c>
      <c r="J323" t="s">
        <v>51</v>
      </c>
      <c r="K323" t="s">
        <v>152</v>
      </c>
      <c r="L323">
        <v>1</v>
      </c>
      <c r="M323" t="s">
        <v>957</v>
      </c>
      <c r="N323" t="s">
        <v>1413</v>
      </c>
    </row>
    <row r="324" spans="1:14" x14ac:dyDescent="0.2">
      <c r="A324" t="str">
        <f t="shared" si="5"/>
        <v>2023-3-VBS-HC-LE-2-16S</v>
      </c>
      <c r="B324" t="s">
        <v>890</v>
      </c>
      <c r="C324" s="74" t="s">
        <v>502</v>
      </c>
      <c r="D324" s="88">
        <v>45159</v>
      </c>
      <c r="E324" t="s">
        <v>964</v>
      </c>
      <c r="F324" t="s">
        <v>549</v>
      </c>
      <c r="G324" t="s">
        <v>22</v>
      </c>
      <c r="H324" t="s">
        <v>547</v>
      </c>
      <c r="I324" t="s">
        <v>961</v>
      </c>
      <c r="J324" t="s">
        <v>51</v>
      </c>
      <c r="K324" t="s">
        <v>152</v>
      </c>
      <c r="L324">
        <v>2</v>
      </c>
      <c r="M324" t="s">
        <v>957</v>
      </c>
      <c r="N324" t="s">
        <v>1413</v>
      </c>
    </row>
    <row r="325" spans="1:14" x14ac:dyDescent="0.2">
      <c r="A325" t="str">
        <f t="shared" si="5"/>
        <v>2023-3-VBS-HC-LE-3-16S</v>
      </c>
      <c r="B325" t="s">
        <v>740</v>
      </c>
      <c r="C325" s="74" t="s">
        <v>503</v>
      </c>
      <c r="D325" s="88">
        <v>45159</v>
      </c>
      <c r="E325" t="s">
        <v>964</v>
      </c>
      <c r="F325" t="s">
        <v>549</v>
      </c>
      <c r="G325" t="s">
        <v>22</v>
      </c>
      <c r="H325" t="s">
        <v>547</v>
      </c>
      <c r="I325" t="s">
        <v>961</v>
      </c>
      <c r="J325" t="s">
        <v>51</v>
      </c>
      <c r="K325" t="s">
        <v>152</v>
      </c>
      <c r="L325">
        <v>3</v>
      </c>
      <c r="M325" t="s">
        <v>957</v>
      </c>
      <c r="N325" t="s">
        <v>1413</v>
      </c>
    </row>
    <row r="326" spans="1:14" x14ac:dyDescent="0.2">
      <c r="A326" t="str">
        <f t="shared" si="5"/>
        <v>2023-3-VBS-SP-LE-1-16S</v>
      </c>
      <c r="B326" t="s">
        <v>891</v>
      </c>
      <c r="C326" s="74" t="s">
        <v>504</v>
      </c>
      <c r="D326" s="88">
        <v>45159</v>
      </c>
      <c r="E326" t="s">
        <v>964</v>
      </c>
      <c r="F326" t="s">
        <v>549</v>
      </c>
      <c r="G326" t="s">
        <v>22</v>
      </c>
      <c r="H326" t="s">
        <v>547</v>
      </c>
      <c r="I326" t="s">
        <v>961</v>
      </c>
      <c r="J326" t="s">
        <v>60</v>
      </c>
      <c r="K326" t="s">
        <v>152</v>
      </c>
      <c r="L326">
        <v>1</v>
      </c>
      <c r="M326" t="s">
        <v>957</v>
      </c>
      <c r="N326" t="s">
        <v>1413</v>
      </c>
    </row>
    <row r="327" spans="1:14" x14ac:dyDescent="0.2">
      <c r="A327" t="str">
        <f t="shared" si="5"/>
        <v>2023-3-VBS-SP-LE-2-16S</v>
      </c>
      <c r="B327" t="s">
        <v>892</v>
      </c>
      <c r="C327" s="74" t="s">
        <v>505</v>
      </c>
      <c r="D327" s="88">
        <v>45159</v>
      </c>
      <c r="E327" t="s">
        <v>964</v>
      </c>
      <c r="F327" t="s">
        <v>549</v>
      </c>
      <c r="G327" t="s">
        <v>22</v>
      </c>
      <c r="H327" t="s">
        <v>547</v>
      </c>
      <c r="I327" t="s">
        <v>961</v>
      </c>
      <c r="J327" t="s">
        <v>60</v>
      </c>
      <c r="K327" t="s">
        <v>152</v>
      </c>
      <c r="L327">
        <v>2</v>
      </c>
      <c r="M327" t="s">
        <v>957</v>
      </c>
      <c r="N327" t="s">
        <v>1413</v>
      </c>
    </row>
    <row r="328" spans="1:14" x14ac:dyDescent="0.2">
      <c r="A328" t="str">
        <f t="shared" si="5"/>
        <v>2023-3-VBS-SP-LE-3-16S</v>
      </c>
      <c r="B328" t="s">
        <v>651</v>
      </c>
      <c r="C328" s="74" t="s">
        <v>506</v>
      </c>
      <c r="D328" s="88">
        <v>45159</v>
      </c>
      <c r="E328" t="s">
        <v>964</v>
      </c>
      <c r="F328" t="s">
        <v>549</v>
      </c>
      <c r="G328" t="s">
        <v>22</v>
      </c>
      <c r="H328" t="s">
        <v>547</v>
      </c>
      <c r="I328" t="s">
        <v>961</v>
      </c>
      <c r="J328" t="s">
        <v>60</v>
      </c>
      <c r="K328" t="s">
        <v>152</v>
      </c>
      <c r="L328">
        <v>3</v>
      </c>
      <c r="M328" t="s">
        <v>957</v>
      </c>
      <c r="N328" t="s">
        <v>1413</v>
      </c>
    </row>
    <row r="329" spans="1:14" x14ac:dyDescent="0.2">
      <c r="A329" t="str">
        <f t="shared" si="5"/>
        <v>2023-3-VBS-LI-LE-1-16S</v>
      </c>
      <c r="B329" t="s">
        <v>893</v>
      </c>
      <c r="C329" s="74" t="s">
        <v>507</v>
      </c>
      <c r="D329" s="88">
        <v>45159</v>
      </c>
      <c r="E329" t="s">
        <v>964</v>
      </c>
      <c r="F329" t="s">
        <v>549</v>
      </c>
      <c r="G329" t="s">
        <v>22</v>
      </c>
      <c r="H329" t="s">
        <v>547</v>
      </c>
      <c r="I329" t="s">
        <v>961</v>
      </c>
      <c r="J329" t="s">
        <v>36</v>
      </c>
      <c r="K329" t="s">
        <v>152</v>
      </c>
      <c r="L329">
        <v>1</v>
      </c>
      <c r="M329" t="s">
        <v>958</v>
      </c>
      <c r="N329" t="s">
        <v>1413</v>
      </c>
    </row>
    <row r="330" spans="1:14" x14ac:dyDescent="0.2">
      <c r="A330" t="str">
        <f t="shared" si="5"/>
        <v>2023-3-VBS-LI-LE-2-16S</v>
      </c>
      <c r="B330" t="s">
        <v>894</v>
      </c>
      <c r="C330" s="74" t="s">
        <v>508</v>
      </c>
      <c r="D330" s="88">
        <v>45159</v>
      </c>
      <c r="E330" t="s">
        <v>964</v>
      </c>
      <c r="F330" t="s">
        <v>549</v>
      </c>
      <c r="G330" t="s">
        <v>22</v>
      </c>
      <c r="H330" t="s">
        <v>547</v>
      </c>
      <c r="I330" t="s">
        <v>961</v>
      </c>
      <c r="J330" t="s">
        <v>36</v>
      </c>
      <c r="K330" t="s">
        <v>152</v>
      </c>
      <c r="L330">
        <v>2</v>
      </c>
      <c r="M330" t="s">
        <v>958</v>
      </c>
      <c r="N330" t="s">
        <v>1413</v>
      </c>
    </row>
    <row r="331" spans="1:14" x14ac:dyDescent="0.2">
      <c r="A331" t="str">
        <f t="shared" si="5"/>
        <v>2023-3-VBS-LI-LE-3-16S</v>
      </c>
      <c r="B331" t="s">
        <v>655</v>
      </c>
      <c r="C331" s="74" t="s">
        <v>509</v>
      </c>
      <c r="D331" s="88">
        <v>45159</v>
      </c>
      <c r="E331" t="s">
        <v>964</v>
      </c>
      <c r="F331" t="s">
        <v>549</v>
      </c>
      <c r="G331" t="s">
        <v>22</v>
      </c>
      <c r="H331" t="s">
        <v>547</v>
      </c>
      <c r="I331" t="s">
        <v>961</v>
      </c>
      <c r="J331" t="s">
        <v>36</v>
      </c>
      <c r="K331" t="s">
        <v>152</v>
      </c>
      <c r="L331">
        <v>3</v>
      </c>
      <c r="M331" t="s">
        <v>958</v>
      </c>
      <c r="N331" t="s">
        <v>1413</v>
      </c>
    </row>
    <row r="332" spans="1:14" x14ac:dyDescent="0.2">
      <c r="A332" t="str">
        <f t="shared" si="5"/>
        <v>2023-3-VBS-FR-LE-1-16S</v>
      </c>
      <c r="B332" t="s">
        <v>895</v>
      </c>
      <c r="C332" s="74" t="s">
        <v>510</v>
      </c>
      <c r="D332" s="88">
        <v>45159</v>
      </c>
      <c r="E332" t="s">
        <v>964</v>
      </c>
      <c r="F332" t="s">
        <v>549</v>
      </c>
      <c r="G332" t="s">
        <v>22</v>
      </c>
      <c r="H332" t="s">
        <v>547</v>
      </c>
      <c r="I332" t="s">
        <v>961</v>
      </c>
      <c r="J332" t="s">
        <v>34</v>
      </c>
      <c r="K332" t="s">
        <v>152</v>
      </c>
      <c r="L332">
        <v>1</v>
      </c>
      <c r="M332" t="s">
        <v>958</v>
      </c>
      <c r="N332" t="s">
        <v>1413</v>
      </c>
    </row>
    <row r="333" spans="1:14" x14ac:dyDescent="0.2">
      <c r="A333" t="str">
        <f t="shared" si="5"/>
        <v>2023-3-VBS-FR-LE-2-16S</v>
      </c>
      <c r="B333" t="s">
        <v>896</v>
      </c>
      <c r="C333" s="74" t="s">
        <v>511</v>
      </c>
      <c r="D333" s="88">
        <v>45159</v>
      </c>
      <c r="E333" t="s">
        <v>964</v>
      </c>
      <c r="F333" t="s">
        <v>549</v>
      </c>
      <c r="G333" t="s">
        <v>22</v>
      </c>
      <c r="H333" t="s">
        <v>547</v>
      </c>
      <c r="I333" t="s">
        <v>961</v>
      </c>
      <c r="J333" t="s">
        <v>34</v>
      </c>
      <c r="K333" t="s">
        <v>152</v>
      </c>
      <c r="L333">
        <v>2</v>
      </c>
      <c r="M333" t="s">
        <v>958</v>
      </c>
      <c r="N333" t="s">
        <v>1413</v>
      </c>
    </row>
    <row r="334" spans="1:14" x14ac:dyDescent="0.2">
      <c r="A334" t="str">
        <f t="shared" si="5"/>
        <v>2023-3-VBS-FR-LE-3-16S</v>
      </c>
      <c r="B334" t="s">
        <v>659</v>
      </c>
      <c r="C334" s="74" t="s">
        <v>512</v>
      </c>
      <c r="D334" s="88">
        <v>45159</v>
      </c>
      <c r="E334" t="s">
        <v>964</v>
      </c>
      <c r="F334" t="s">
        <v>549</v>
      </c>
      <c r="G334" t="s">
        <v>22</v>
      </c>
      <c r="H334" t="s">
        <v>547</v>
      </c>
      <c r="I334" t="s">
        <v>961</v>
      </c>
      <c r="J334" t="s">
        <v>34</v>
      </c>
      <c r="K334" t="s">
        <v>152</v>
      </c>
      <c r="L334">
        <v>3</v>
      </c>
      <c r="M334" t="s">
        <v>958</v>
      </c>
      <c r="N334" t="s">
        <v>1413</v>
      </c>
    </row>
    <row r="335" spans="1:14" x14ac:dyDescent="0.2">
      <c r="A335" t="str">
        <f t="shared" si="5"/>
        <v>2023-3-MIC-CL-LE-1-16S</v>
      </c>
      <c r="B335" t="s">
        <v>897</v>
      </c>
      <c r="C335" s="74" t="s">
        <v>513</v>
      </c>
      <c r="D335" s="88">
        <v>45161</v>
      </c>
      <c r="E335" t="s">
        <v>964</v>
      </c>
      <c r="F335" t="s">
        <v>552</v>
      </c>
      <c r="G335" t="s">
        <v>95</v>
      </c>
      <c r="H335" t="s">
        <v>543</v>
      </c>
      <c r="I335" t="s">
        <v>960</v>
      </c>
      <c r="J335" t="s">
        <v>43</v>
      </c>
      <c r="K335" t="s">
        <v>152</v>
      </c>
      <c r="L335">
        <v>1</v>
      </c>
      <c r="M335" t="s">
        <v>956</v>
      </c>
      <c r="N335" t="s">
        <v>1413</v>
      </c>
    </row>
    <row r="336" spans="1:14" x14ac:dyDescent="0.2">
      <c r="A336" t="str">
        <f t="shared" si="5"/>
        <v>2023-3-MIC-CL-LE-2-16S</v>
      </c>
      <c r="B336" t="s">
        <v>898</v>
      </c>
      <c r="C336" s="74" t="s">
        <v>514</v>
      </c>
      <c r="D336" s="88">
        <v>45161</v>
      </c>
      <c r="E336" t="s">
        <v>964</v>
      </c>
      <c r="F336" t="s">
        <v>552</v>
      </c>
      <c r="G336" t="s">
        <v>95</v>
      </c>
      <c r="H336" t="s">
        <v>543</v>
      </c>
      <c r="I336" t="s">
        <v>960</v>
      </c>
      <c r="J336" t="s">
        <v>43</v>
      </c>
      <c r="K336" t="s">
        <v>152</v>
      </c>
      <c r="L336">
        <v>2</v>
      </c>
      <c r="M336" t="s">
        <v>956</v>
      </c>
      <c r="N336" t="s">
        <v>1413</v>
      </c>
    </row>
    <row r="337" spans="1:14" x14ac:dyDescent="0.2">
      <c r="A337" t="str">
        <f t="shared" si="5"/>
        <v>2023-3-MIC-CL-LE-3-16S</v>
      </c>
      <c r="B337" t="s">
        <v>759</v>
      </c>
      <c r="C337" s="74" t="s">
        <v>515</v>
      </c>
      <c r="D337" s="88">
        <v>45161</v>
      </c>
      <c r="E337" t="s">
        <v>964</v>
      </c>
      <c r="F337" t="s">
        <v>552</v>
      </c>
      <c r="G337" t="s">
        <v>95</v>
      </c>
      <c r="H337" t="s">
        <v>543</v>
      </c>
      <c r="I337" t="s">
        <v>960</v>
      </c>
      <c r="J337" t="s">
        <v>43</v>
      </c>
      <c r="K337" t="s">
        <v>152</v>
      </c>
      <c r="L337">
        <v>3</v>
      </c>
      <c r="M337" t="s">
        <v>956</v>
      </c>
      <c r="N337" t="s">
        <v>1413</v>
      </c>
    </row>
    <row r="338" spans="1:14" x14ac:dyDescent="0.2">
      <c r="A338" t="str">
        <f t="shared" si="5"/>
        <v>2023-3-MIC-HC-LE-1-16S</v>
      </c>
      <c r="B338" t="s">
        <v>899</v>
      </c>
      <c r="C338" s="74" t="s">
        <v>516</v>
      </c>
      <c r="D338" s="88">
        <v>45161</v>
      </c>
      <c r="E338" t="s">
        <v>964</v>
      </c>
      <c r="F338" t="s">
        <v>552</v>
      </c>
      <c r="G338" t="s">
        <v>95</v>
      </c>
      <c r="H338" t="s">
        <v>543</v>
      </c>
      <c r="I338" t="s">
        <v>960</v>
      </c>
      <c r="J338" t="s">
        <v>51</v>
      </c>
      <c r="K338" t="s">
        <v>152</v>
      </c>
      <c r="L338">
        <v>1</v>
      </c>
      <c r="M338" t="s">
        <v>957</v>
      </c>
      <c r="N338" t="s">
        <v>1413</v>
      </c>
    </row>
    <row r="339" spans="1:14" x14ac:dyDescent="0.2">
      <c r="A339" t="str">
        <f t="shared" si="5"/>
        <v>2023-3-MIC-HC-LE-2-16S</v>
      </c>
      <c r="B339" t="s">
        <v>900</v>
      </c>
      <c r="C339" s="74" t="s">
        <v>517</v>
      </c>
      <c r="D339" s="88">
        <v>45161</v>
      </c>
      <c r="E339" t="s">
        <v>964</v>
      </c>
      <c r="F339" t="s">
        <v>552</v>
      </c>
      <c r="G339" t="s">
        <v>95</v>
      </c>
      <c r="H339" t="s">
        <v>543</v>
      </c>
      <c r="I339" t="s">
        <v>960</v>
      </c>
      <c r="J339" t="s">
        <v>51</v>
      </c>
      <c r="K339" t="s">
        <v>152</v>
      </c>
      <c r="L339">
        <v>2</v>
      </c>
      <c r="M339" t="s">
        <v>957</v>
      </c>
      <c r="N339" t="s">
        <v>1413</v>
      </c>
    </row>
    <row r="340" spans="1:14" x14ac:dyDescent="0.2">
      <c r="A340" t="str">
        <f t="shared" si="5"/>
        <v>2023-3-MIC-HC-LE-3-16S</v>
      </c>
      <c r="B340" t="s">
        <v>764</v>
      </c>
      <c r="C340" s="74" t="s">
        <v>518</v>
      </c>
      <c r="D340" s="88">
        <v>45161</v>
      </c>
      <c r="E340" t="s">
        <v>964</v>
      </c>
      <c r="F340" t="s">
        <v>552</v>
      </c>
      <c r="G340" t="s">
        <v>95</v>
      </c>
      <c r="H340" t="s">
        <v>543</v>
      </c>
      <c r="I340" t="s">
        <v>960</v>
      </c>
      <c r="J340" t="s">
        <v>51</v>
      </c>
      <c r="K340" t="s">
        <v>152</v>
      </c>
      <c r="L340">
        <v>3</v>
      </c>
      <c r="M340" t="s">
        <v>957</v>
      </c>
      <c r="N340" t="s">
        <v>1413</v>
      </c>
    </row>
    <row r="341" spans="1:14" x14ac:dyDescent="0.2">
      <c r="A341" t="str">
        <f t="shared" si="5"/>
        <v>2023-3-MIC-SP-LE-1-16S</v>
      </c>
      <c r="B341" t="s">
        <v>901</v>
      </c>
      <c r="C341" s="74" t="s">
        <v>519</v>
      </c>
      <c r="D341" s="88">
        <v>45161</v>
      </c>
      <c r="E341" t="s">
        <v>964</v>
      </c>
      <c r="F341" t="s">
        <v>552</v>
      </c>
      <c r="G341" t="s">
        <v>95</v>
      </c>
      <c r="H341" t="s">
        <v>543</v>
      </c>
      <c r="I341" t="s">
        <v>960</v>
      </c>
      <c r="J341" t="s">
        <v>60</v>
      </c>
      <c r="K341" t="s">
        <v>152</v>
      </c>
      <c r="L341">
        <v>1</v>
      </c>
      <c r="M341" t="s">
        <v>957</v>
      </c>
      <c r="N341" t="s">
        <v>1413</v>
      </c>
    </row>
    <row r="342" spans="1:14" x14ac:dyDescent="0.2">
      <c r="A342" t="str">
        <f t="shared" si="5"/>
        <v>2023-3-MIC-SP-LE-2-16S</v>
      </c>
      <c r="B342" t="s">
        <v>902</v>
      </c>
      <c r="C342" s="74" t="s">
        <v>520</v>
      </c>
      <c r="D342" s="88">
        <v>45161</v>
      </c>
      <c r="E342" t="s">
        <v>964</v>
      </c>
      <c r="F342" t="s">
        <v>552</v>
      </c>
      <c r="G342" t="s">
        <v>95</v>
      </c>
      <c r="H342" t="s">
        <v>543</v>
      </c>
      <c r="I342" t="s">
        <v>960</v>
      </c>
      <c r="J342" t="s">
        <v>60</v>
      </c>
      <c r="K342" t="s">
        <v>152</v>
      </c>
      <c r="L342">
        <v>2</v>
      </c>
      <c r="M342" t="s">
        <v>957</v>
      </c>
      <c r="N342" t="s">
        <v>1413</v>
      </c>
    </row>
    <row r="343" spans="1:14" x14ac:dyDescent="0.2">
      <c r="A343" t="str">
        <f t="shared" si="5"/>
        <v>2023-3-MIC-SP-LE-3-16S</v>
      </c>
      <c r="B343" t="s">
        <v>662</v>
      </c>
      <c r="C343" s="74" t="s">
        <v>521</v>
      </c>
      <c r="D343" s="88">
        <v>45161</v>
      </c>
      <c r="E343" t="s">
        <v>964</v>
      </c>
      <c r="F343" t="s">
        <v>552</v>
      </c>
      <c r="G343" t="s">
        <v>95</v>
      </c>
      <c r="H343" t="s">
        <v>543</v>
      </c>
      <c r="I343" t="s">
        <v>960</v>
      </c>
      <c r="J343" t="s">
        <v>60</v>
      </c>
      <c r="K343" t="s">
        <v>152</v>
      </c>
      <c r="L343">
        <v>3</v>
      </c>
      <c r="M343" t="s">
        <v>957</v>
      </c>
      <c r="N343" t="s">
        <v>1413</v>
      </c>
    </row>
    <row r="344" spans="1:14" x14ac:dyDescent="0.2">
      <c r="A344" t="str">
        <f t="shared" si="5"/>
        <v>2023-3-MIC-LI-LE-1-16S</v>
      </c>
      <c r="B344" t="s">
        <v>903</v>
      </c>
      <c r="C344" s="74" t="s">
        <v>522</v>
      </c>
      <c r="D344" s="88">
        <v>45161</v>
      </c>
      <c r="E344" t="s">
        <v>964</v>
      </c>
      <c r="F344" t="s">
        <v>552</v>
      </c>
      <c r="G344" t="s">
        <v>95</v>
      </c>
      <c r="H344" t="s">
        <v>543</v>
      </c>
      <c r="I344" t="s">
        <v>960</v>
      </c>
      <c r="J344" t="s">
        <v>36</v>
      </c>
      <c r="K344" t="s">
        <v>152</v>
      </c>
      <c r="L344">
        <v>1</v>
      </c>
      <c r="M344" t="s">
        <v>958</v>
      </c>
      <c r="N344" t="s">
        <v>1413</v>
      </c>
    </row>
    <row r="345" spans="1:14" x14ac:dyDescent="0.2">
      <c r="A345" t="str">
        <f t="shared" si="5"/>
        <v>2023-3-MIC-LI-LE-2-16S</v>
      </c>
      <c r="B345" t="s">
        <v>904</v>
      </c>
      <c r="C345" s="74" t="s">
        <v>523</v>
      </c>
      <c r="D345" s="88">
        <v>45161</v>
      </c>
      <c r="E345" t="s">
        <v>964</v>
      </c>
      <c r="F345" t="s">
        <v>552</v>
      </c>
      <c r="G345" t="s">
        <v>95</v>
      </c>
      <c r="H345" t="s">
        <v>543</v>
      </c>
      <c r="I345" t="s">
        <v>960</v>
      </c>
      <c r="J345" t="s">
        <v>36</v>
      </c>
      <c r="K345" t="s">
        <v>152</v>
      </c>
      <c r="L345">
        <v>2</v>
      </c>
      <c r="M345" t="s">
        <v>958</v>
      </c>
      <c r="N345" t="s">
        <v>1413</v>
      </c>
    </row>
    <row r="346" spans="1:14" x14ac:dyDescent="0.2">
      <c r="A346" t="str">
        <f t="shared" si="5"/>
        <v>2023-3-MIC-LI-LE-3-16S</v>
      </c>
      <c r="B346" t="s">
        <v>665</v>
      </c>
      <c r="C346" s="74" t="s">
        <v>524</v>
      </c>
      <c r="D346" s="88">
        <v>45161</v>
      </c>
      <c r="E346" t="s">
        <v>964</v>
      </c>
      <c r="F346" t="s">
        <v>552</v>
      </c>
      <c r="G346" t="s">
        <v>95</v>
      </c>
      <c r="H346" t="s">
        <v>543</v>
      </c>
      <c r="I346" t="s">
        <v>960</v>
      </c>
      <c r="J346" t="s">
        <v>36</v>
      </c>
      <c r="K346" t="s">
        <v>152</v>
      </c>
      <c r="L346">
        <v>3</v>
      </c>
      <c r="M346" t="s">
        <v>958</v>
      </c>
      <c r="N346" t="s">
        <v>1413</v>
      </c>
    </row>
    <row r="347" spans="1:14" x14ac:dyDescent="0.2">
      <c r="A347" t="str">
        <f t="shared" si="5"/>
        <v>2023-3-MIC-EM-LE-1-16S</v>
      </c>
      <c r="B347" t="s">
        <v>905</v>
      </c>
      <c r="C347" s="74" t="s">
        <v>525</v>
      </c>
      <c r="D347" s="88">
        <v>45161</v>
      </c>
      <c r="E347" t="s">
        <v>964</v>
      </c>
      <c r="F347" t="s">
        <v>552</v>
      </c>
      <c r="G347" t="s">
        <v>95</v>
      </c>
      <c r="H347" t="s">
        <v>543</v>
      </c>
      <c r="I347" t="s">
        <v>960</v>
      </c>
      <c r="J347" t="s">
        <v>45</v>
      </c>
      <c r="K347" t="s">
        <v>152</v>
      </c>
      <c r="L347">
        <v>1</v>
      </c>
      <c r="M347" t="s">
        <v>958</v>
      </c>
      <c r="N347" t="s">
        <v>1413</v>
      </c>
    </row>
    <row r="348" spans="1:14" x14ac:dyDescent="0.2">
      <c r="A348" t="str">
        <f t="shared" si="5"/>
        <v>2023-3-MIC-EM-LE-2-16S</v>
      </c>
      <c r="B348" t="s">
        <v>906</v>
      </c>
      <c r="C348" s="74" t="s">
        <v>526</v>
      </c>
      <c r="D348" s="88">
        <v>45161</v>
      </c>
      <c r="E348" t="s">
        <v>964</v>
      </c>
      <c r="F348" t="s">
        <v>552</v>
      </c>
      <c r="G348" t="s">
        <v>95</v>
      </c>
      <c r="H348" t="s">
        <v>543</v>
      </c>
      <c r="I348" t="s">
        <v>960</v>
      </c>
      <c r="J348" t="s">
        <v>45</v>
      </c>
      <c r="K348" t="s">
        <v>152</v>
      </c>
      <c r="L348">
        <v>2</v>
      </c>
      <c r="M348" t="s">
        <v>958</v>
      </c>
      <c r="N348" t="s">
        <v>1413</v>
      </c>
    </row>
    <row r="349" spans="1:14" x14ac:dyDescent="0.2">
      <c r="A349" t="str">
        <f t="shared" si="5"/>
        <v>2023-3-MIC-EM-LE-3-16S</v>
      </c>
      <c r="B349" t="s">
        <v>668</v>
      </c>
      <c r="C349" s="74" t="s">
        <v>527</v>
      </c>
      <c r="D349" s="88">
        <v>45161</v>
      </c>
      <c r="E349" t="s">
        <v>964</v>
      </c>
      <c r="F349" t="s">
        <v>552</v>
      </c>
      <c r="G349" t="s">
        <v>95</v>
      </c>
      <c r="H349" t="s">
        <v>543</v>
      </c>
      <c r="I349" t="s">
        <v>960</v>
      </c>
      <c r="J349" t="s">
        <v>45</v>
      </c>
      <c r="K349" t="s">
        <v>152</v>
      </c>
      <c r="L349">
        <v>3</v>
      </c>
      <c r="M349" t="s">
        <v>958</v>
      </c>
      <c r="N349" t="s">
        <v>1413</v>
      </c>
    </row>
    <row r="350" spans="1:14" x14ac:dyDescent="0.2">
      <c r="A350" t="str">
        <f t="shared" si="5"/>
        <v>2023-3-MIB-CL-LE-1-16S</v>
      </c>
      <c r="B350" t="s">
        <v>907</v>
      </c>
      <c r="C350" s="74" t="s">
        <v>528</v>
      </c>
      <c r="D350" s="88">
        <v>45161</v>
      </c>
      <c r="E350" t="s">
        <v>964</v>
      </c>
      <c r="F350" t="s">
        <v>550</v>
      </c>
      <c r="G350" t="s">
        <v>94</v>
      </c>
      <c r="H350" t="s">
        <v>544</v>
      </c>
      <c r="I350" t="s">
        <v>961</v>
      </c>
      <c r="J350" t="s">
        <v>43</v>
      </c>
      <c r="K350" t="s">
        <v>152</v>
      </c>
      <c r="L350">
        <v>1</v>
      </c>
      <c r="M350" t="s">
        <v>956</v>
      </c>
      <c r="N350" t="s">
        <v>1413</v>
      </c>
    </row>
    <row r="351" spans="1:14" x14ac:dyDescent="0.2">
      <c r="A351" t="str">
        <f t="shared" si="5"/>
        <v>2023-3-MIB-CL-LE-2-16S</v>
      </c>
      <c r="B351" t="s">
        <v>908</v>
      </c>
      <c r="C351" s="74" t="s">
        <v>529</v>
      </c>
      <c r="D351" s="88">
        <v>45161</v>
      </c>
      <c r="E351" t="s">
        <v>964</v>
      </c>
      <c r="F351" t="s">
        <v>550</v>
      </c>
      <c r="G351" t="s">
        <v>94</v>
      </c>
      <c r="H351" t="s">
        <v>544</v>
      </c>
      <c r="I351" t="s">
        <v>961</v>
      </c>
      <c r="J351" t="s">
        <v>43</v>
      </c>
      <c r="K351" t="s">
        <v>152</v>
      </c>
      <c r="L351">
        <v>2</v>
      </c>
      <c r="M351" t="s">
        <v>956</v>
      </c>
      <c r="N351" t="s">
        <v>1413</v>
      </c>
    </row>
    <row r="352" spans="1:14" x14ac:dyDescent="0.2">
      <c r="A352" t="str">
        <f t="shared" si="5"/>
        <v>2023-3-MIB-CL-LE-3-16S</v>
      </c>
      <c r="B352" t="s">
        <v>909</v>
      </c>
      <c r="C352" s="74" t="s">
        <v>530</v>
      </c>
      <c r="D352" s="88">
        <v>45161</v>
      </c>
      <c r="E352" t="s">
        <v>964</v>
      </c>
      <c r="F352" t="s">
        <v>550</v>
      </c>
      <c r="G352" t="s">
        <v>94</v>
      </c>
      <c r="H352" t="s">
        <v>544</v>
      </c>
      <c r="I352" t="s">
        <v>961</v>
      </c>
      <c r="J352" t="s">
        <v>43</v>
      </c>
      <c r="K352" t="s">
        <v>152</v>
      </c>
      <c r="L352">
        <v>3</v>
      </c>
      <c r="M352" t="s">
        <v>956</v>
      </c>
      <c r="N352" t="s">
        <v>1413</v>
      </c>
    </row>
    <row r="353" spans="1:14" x14ac:dyDescent="0.2">
      <c r="A353" t="str">
        <f t="shared" si="5"/>
        <v>2023-3-MIB-HC-LE-1-16S</v>
      </c>
      <c r="B353" t="s">
        <v>910</v>
      </c>
      <c r="C353" s="74" t="s">
        <v>531</v>
      </c>
      <c r="D353" s="88">
        <v>45161</v>
      </c>
      <c r="E353" t="s">
        <v>964</v>
      </c>
      <c r="F353" t="s">
        <v>550</v>
      </c>
      <c r="G353" t="s">
        <v>94</v>
      </c>
      <c r="H353" t="s">
        <v>544</v>
      </c>
      <c r="I353" t="s">
        <v>961</v>
      </c>
      <c r="J353" t="s">
        <v>51</v>
      </c>
      <c r="K353" t="s">
        <v>152</v>
      </c>
      <c r="L353">
        <v>1</v>
      </c>
      <c r="M353" t="s">
        <v>957</v>
      </c>
      <c r="N353" t="s">
        <v>1413</v>
      </c>
    </row>
    <row r="354" spans="1:14" x14ac:dyDescent="0.2">
      <c r="A354" t="str">
        <f t="shared" si="5"/>
        <v>2023-3-MIB-HC-LE-2-16S</v>
      </c>
      <c r="B354" t="s">
        <v>911</v>
      </c>
      <c r="C354" s="74" t="s">
        <v>532</v>
      </c>
      <c r="D354" s="88">
        <v>45161</v>
      </c>
      <c r="E354" t="s">
        <v>964</v>
      </c>
      <c r="F354" t="s">
        <v>550</v>
      </c>
      <c r="G354" t="s">
        <v>94</v>
      </c>
      <c r="H354" t="s">
        <v>544</v>
      </c>
      <c r="I354" t="s">
        <v>961</v>
      </c>
      <c r="J354" t="s">
        <v>51</v>
      </c>
      <c r="K354" t="s">
        <v>152</v>
      </c>
      <c r="L354">
        <v>2</v>
      </c>
      <c r="M354" t="s">
        <v>957</v>
      </c>
      <c r="N354" t="s">
        <v>1413</v>
      </c>
    </row>
    <row r="355" spans="1:14" x14ac:dyDescent="0.2">
      <c r="A355" t="str">
        <f t="shared" si="5"/>
        <v>2023-3-MIB-HC-LE-3-16S</v>
      </c>
      <c r="B355" t="s">
        <v>912</v>
      </c>
      <c r="C355" s="74" t="s">
        <v>533</v>
      </c>
      <c r="D355" s="88">
        <v>45161</v>
      </c>
      <c r="E355" t="s">
        <v>964</v>
      </c>
      <c r="F355" t="s">
        <v>550</v>
      </c>
      <c r="G355" t="s">
        <v>94</v>
      </c>
      <c r="H355" t="s">
        <v>544</v>
      </c>
      <c r="I355" t="s">
        <v>961</v>
      </c>
      <c r="J355" t="s">
        <v>51</v>
      </c>
      <c r="K355" t="s">
        <v>152</v>
      </c>
      <c r="L355">
        <v>3</v>
      </c>
      <c r="M355" t="s">
        <v>957</v>
      </c>
      <c r="N355" t="s">
        <v>1413</v>
      </c>
    </row>
    <row r="356" spans="1:14" x14ac:dyDescent="0.2">
      <c r="A356" t="str">
        <f t="shared" si="5"/>
        <v>2023-3-MIB-SP-LE-1-16S</v>
      </c>
      <c r="B356" t="s">
        <v>913</v>
      </c>
      <c r="C356" s="74" t="s">
        <v>534</v>
      </c>
      <c r="D356" s="88">
        <v>45161</v>
      </c>
      <c r="E356" t="s">
        <v>964</v>
      </c>
      <c r="F356" t="s">
        <v>550</v>
      </c>
      <c r="G356" t="s">
        <v>94</v>
      </c>
      <c r="H356" t="s">
        <v>544</v>
      </c>
      <c r="I356" t="s">
        <v>961</v>
      </c>
      <c r="J356" t="s">
        <v>60</v>
      </c>
      <c r="K356" t="s">
        <v>152</v>
      </c>
      <c r="L356">
        <v>1</v>
      </c>
      <c r="M356" t="s">
        <v>957</v>
      </c>
      <c r="N356" t="s">
        <v>1413</v>
      </c>
    </row>
    <row r="357" spans="1:14" x14ac:dyDescent="0.2">
      <c r="A357" t="str">
        <f t="shared" si="5"/>
        <v>2023-3-MIB-SP-LE-2-16S</v>
      </c>
      <c r="B357" t="s">
        <v>914</v>
      </c>
      <c r="C357" s="74" t="s">
        <v>535</v>
      </c>
      <c r="D357" s="88">
        <v>45161</v>
      </c>
      <c r="E357" t="s">
        <v>964</v>
      </c>
      <c r="F357" t="s">
        <v>550</v>
      </c>
      <c r="G357" t="s">
        <v>94</v>
      </c>
      <c r="H357" t="s">
        <v>544</v>
      </c>
      <c r="I357" t="s">
        <v>961</v>
      </c>
      <c r="J357" t="s">
        <v>60</v>
      </c>
      <c r="K357" t="s">
        <v>152</v>
      </c>
      <c r="L357">
        <v>2</v>
      </c>
      <c r="M357" t="s">
        <v>957</v>
      </c>
      <c r="N357" t="s">
        <v>1413</v>
      </c>
    </row>
    <row r="358" spans="1:14" x14ac:dyDescent="0.2">
      <c r="A358" t="str">
        <f t="shared" si="5"/>
        <v>2023-3-MIB-SP-LE-3-16S</v>
      </c>
      <c r="B358" t="s">
        <v>671</v>
      </c>
      <c r="C358" s="74" t="s">
        <v>536</v>
      </c>
      <c r="D358" s="88">
        <v>45161</v>
      </c>
      <c r="E358" t="s">
        <v>964</v>
      </c>
      <c r="F358" t="s">
        <v>550</v>
      </c>
      <c r="G358" t="s">
        <v>94</v>
      </c>
      <c r="H358" t="s">
        <v>544</v>
      </c>
      <c r="I358" t="s">
        <v>961</v>
      </c>
      <c r="J358" t="s">
        <v>60</v>
      </c>
      <c r="K358" t="s">
        <v>152</v>
      </c>
      <c r="L358">
        <v>3</v>
      </c>
      <c r="M358" t="s">
        <v>957</v>
      </c>
      <c r="N358" t="s">
        <v>1413</v>
      </c>
    </row>
    <row r="359" spans="1:14" x14ac:dyDescent="0.2">
      <c r="A359" t="str">
        <f t="shared" si="5"/>
        <v>2023-3-MIB-LI-LE-1-16S</v>
      </c>
      <c r="B359" t="s">
        <v>915</v>
      </c>
      <c r="C359" s="74" t="s">
        <v>537</v>
      </c>
      <c r="D359" s="88">
        <v>45161</v>
      </c>
      <c r="E359" t="s">
        <v>964</v>
      </c>
      <c r="F359" t="s">
        <v>550</v>
      </c>
      <c r="G359" t="s">
        <v>94</v>
      </c>
      <c r="H359" t="s">
        <v>544</v>
      </c>
      <c r="I359" t="s">
        <v>961</v>
      </c>
      <c r="J359" t="s">
        <v>36</v>
      </c>
      <c r="K359" t="s">
        <v>152</v>
      </c>
      <c r="L359">
        <v>1</v>
      </c>
      <c r="M359" t="s">
        <v>958</v>
      </c>
      <c r="N359" t="s">
        <v>1413</v>
      </c>
    </row>
    <row r="360" spans="1:14" x14ac:dyDescent="0.2">
      <c r="A360" t="str">
        <f t="shared" si="5"/>
        <v>2023-3-MIB-LI-LE-2-16S</v>
      </c>
      <c r="B360" t="s">
        <v>916</v>
      </c>
      <c r="C360" s="74" t="s">
        <v>538</v>
      </c>
      <c r="D360" s="88">
        <v>45161</v>
      </c>
      <c r="E360" t="s">
        <v>964</v>
      </c>
      <c r="F360" t="s">
        <v>550</v>
      </c>
      <c r="G360" t="s">
        <v>94</v>
      </c>
      <c r="H360" t="s">
        <v>544</v>
      </c>
      <c r="I360" t="s">
        <v>961</v>
      </c>
      <c r="J360" t="s">
        <v>36</v>
      </c>
      <c r="K360" t="s">
        <v>152</v>
      </c>
      <c r="L360">
        <v>2</v>
      </c>
      <c r="M360" t="s">
        <v>958</v>
      </c>
      <c r="N360" t="s">
        <v>1413</v>
      </c>
    </row>
    <row r="361" spans="1:14" x14ac:dyDescent="0.2">
      <c r="A361" t="str">
        <f t="shared" si="5"/>
        <v>2023-3-MIB-LI-LE-3-16S</v>
      </c>
      <c r="B361" t="s">
        <v>674</v>
      </c>
      <c r="C361" s="74" t="s">
        <v>539</v>
      </c>
      <c r="D361" s="88">
        <v>45161</v>
      </c>
      <c r="E361" t="s">
        <v>964</v>
      </c>
      <c r="F361" t="s">
        <v>550</v>
      </c>
      <c r="G361" t="s">
        <v>94</v>
      </c>
      <c r="H361" t="s">
        <v>544</v>
      </c>
      <c r="I361" t="s">
        <v>961</v>
      </c>
      <c r="J361" t="s">
        <v>36</v>
      </c>
      <c r="K361" t="s">
        <v>152</v>
      </c>
      <c r="L361">
        <v>3</v>
      </c>
      <c r="M361" t="s">
        <v>958</v>
      </c>
      <c r="N361" t="s">
        <v>1413</v>
      </c>
    </row>
    <row r="362" spans="1:14" x14ac:dyDescent="0.2">
      <c r="A362" t="str">
        <f t="shared" si="5"/>
        <v>2023-3-MIB-EM-LE-1-16S</v>
      </c>
      <c r="B362" t="s">
        <v>917</v>
      </c>
      <c r="C362" s="74" t="s">
        <v>540</v>
      </c>
      <c r="D362" s="88">
        <v>45161</v>
      </c>
      <c r="E362" t="s">
        <v>964</v>
      </c>
      <c r="F362" t="s">
        <v>550</v>
      </c>
      <c r="G362" t="s">
        <v>94</v>
      </c>
      <c r="H362" t="s">
        <v>544</v>
      </c>
      <c r="I362" t="s">
        <v>961</v>
      </c>
      <c r="J362" t="s">
        <v>45</v>
      </c>
      <c r="K362" t="s">
        <v>152</v>
      </c>
      <c r="L362">
        <v>1</v>
      </c>
      <c r="M362" t="s">
        <v>958</v>
      </c>
      <c r="N362" t="s">
        <v>1413</v>
      </c>
    </row>
    <row r="363" spans="1:14" x14ac:dyDescent="0.2">
      <c r="A363" t="str">
        <f t="shared" si="5"/>
        <v>2023-3-MIB-EM-LE-2-16S</v>
      </c>
      <c r="B363" t="s">
        <v>918</v>
      </c>
      <c r="C363" s="74" t="s">
        <v>541</v>
      </c>
      <c r="D363" s="88">
        <v>45161</v>
      </c>
      <c r="E363" t="s">
        <v>964</v>
      </c>
      <c r="F363" t="s">
        <v>550</v>
      </c>
      <c r="G363" t="s">
        <v>94</v>
      </c>
      <c r="H363" t="s">
        <v>544</v>
      </c>
      <c r="I363" t="s">
        <v>961</v>
      </c>
      <c r="J363" t="s">
        <v>45</v>
      </c>
      <c r="K363" t="s">
        <v>152</v>
      </c>
      <c r="L363">
        <v>2</v>
      </c>
      <c r="M363" t="s">
        <v>958</v>
      </c>
      <c r="N363" t="s">
        <v>1413</v>
      </c>
    </row>
    <row r="364" spans="1:14" x14ac:dyDescent="0.2">
      <c r="A364" t="str">
        <f t="shared" si="5"/>
        <v>2023-3-MIB-EM-LE-3-16S</v>
      </c>
      <c r="B364" t="s">
        <v>677</v>
      </c>
      <c r="C364" s="74" t="s">
        <v>542</v>
      </c>
      <c r="D364" s="88">
        <v>45161</v>
      </c>
      <c r="E364" t="s">
        <v>964</v>
      </c>
      <c r="F364" t="s">
        <v>550</v>
      </c>
      <c r="G364" t="s">
        <v>94</v>
      </c>
      <c r="H364" t="s">
        <v>544</v>
      </c>
      <c r="I364" t="s">
        <v>961</v>
      </c>
      <c r="J364" t="s">
        <v>45</v>
      </c>
      <c r="K364" t="s">
        <v>152</v>
      </c>
      <c r="L364">
        <v>3</v>
      </c>
      <c r="M364" t="s">
        <v>958</v>
      </c>
      <c r="N364" t="s">
        <v>1413</v>
      </c>
    </row>
    <row r="365" spans="1:14" x14ac:dyDescent="0.2">
      <c r="A365" t="s">
        <v>1410</v>
      </c>
      <c r="B365" t="s">
        <v>1416</v>
      </c>
      <c r="E365" t="s">
        <v>1412</v>
      </c>
      <c r="N365" t="s">
        <v>1415</v>
      </c>
    </row>
    <row r="366" spans="1:14" x14ac:dyDescent="0.2">
      <c r="A366" t="s">
        <v>1411</v>
      </c>
      <c r="B366" t="s">
        <v>1417</v>
      </c>
      <c r="E366" t="s">
        <v>1412</v>
      </c>
      <c r="N366" t="s">
        <v>1415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CB7E-DA7C-4938-B561-3E9659A71336}">
  <dimension ref="A1:L364"/>
  <sheetViews>
    <sheetView workbookViewId="0">
      <selection sqref="A1:XFD1048576"/>
    </sheetView>
  </sheetViews>
  <sheetFormatPr baseColWidth="10" defaultRowHeight="15" x14ac:dyDescent="0.2"/>
  <cols>
    <col min="2" max="2" width="10.5" bestFit="1" customWidth="1"/>
    <col min="3" max="3" width="7.1640625" bestFit="1" customWidth="1"/>
    <col min="4" max="4" width="29.83203125" bestFit="1" customWidth="1"/>
    <col min="5" max="6" width="5.33203125" bestFit="1" customWidth="1"/>
    <col min="7" max="7" width="12.83203125" bestFit="1" customWidth="1"/>
    <col min="8" max="8" width="10.83203125" bestFit="1" customWidth="1"/>
    <col min="9" max="9" width="7.1640625" bestFit="1" customWidth="1"/>
    <col min="10" max="10" width="8.83203125" bestFit="1" customWidth="1"/>
  </cols>
  <sheetData>
    <row r="1" spans="1:12" x14ac:dyDescent="0.2">
      <c r="A1" t="s">
        <v>170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959</v>
      </c>
      <c r="H1" t="s">
        <v>177</v>
      </c>
      <c r="I1" t="s">
        <v>178</v>
      </c>
      <c r="J1" t="s">
        <v>179</v>
      </c>
      <c r="K1" t="s">
        <v>972</v>
      </c>
      <c r="L1" t="s">
        <v>1336</v>
      </c>
    </row>
    <row r="2" spans="1:12" x14ac:dyDescent="0.2">
      <c r="A2" t="s">
        <v>556</v>
      </c>
      <c r="B2" s="88">
        <v>45061</v>
      </c>
      <c r="C2" t="s">
        <v>962</v>
      </c>
      <c r="D2" t="s">
        <v>551</v>
      </c>
      <c r="E2" t="s">
        <v>16</v>
      </c>
      <c r="F2" t="s">
        <v>548</v>
      </c>
      <c r="G2" t="s">
        <v>960</v>
      </c>
      <c r="H2" t="s">
        <v>43</v>
      </c>
      <c r="I2" t="s">
        <v>151</v>
      </c>
      <c r="J2">
        <v>1</v>
      </c>
      <c r="K2">
        <v>2023</v>
      </c>
      <c r="L2" t="s">
        <v>973</v>
      </c>
    </row>
    <row r="3" spans="1:12" x14ac:dyDescent="0.2">
      <c r="A3" t="s">
        <v>557</v>
      </c>
      <c r="B3" s="88">
        <v>45061</v>
      </c>
      <c r="C3" t="s">
        <v>962</v>
      </c>
      <c r="D3" t="s">
        <v>551</v>
      </c>
      <c r="E3" t="s">
        <v>16</v>
      </c>
      <c r="F3" t="s">
        <v>548</v>
      </c>
      <c r="G3" t="s">
        <v>960</v>
      </c>
      <c r="H3" t="s">
        <v>43</v>
      </c>
      <c r="I3" t="s">
        <v>152</v>
      </c>
      <c r="J3">
        <v>1</v>
      </c>
      <c r="K3">
        <v>2023</v>
      </c>
      <c r="L3" t="s">
        <v>974</v>
      </c>
    </row>
    <row r="4" spans="1:12" x14ac:dyDescent="0.2">
      <c r="A4" t="s">
        <v>560</v>
      </c>
      <c r="B4" s="88">
        <v>45061</v>
      </c>
      <c r="C4" t="s">
        <v>962</v>
      </c>
      <c r="D4" t="s">
        <v>551</v>
      </c>
      <c r="E4" t="s">
        <v>16</v>
      </c>
      <c r="F4" t="s">
        <v>548</v>
      </c>
      <c r="G4" t="s">
        <v>960</v>
      </c>
      <c r="H4" t="s">
        <v>43</v>
      </c>
      <c r="I4" t="s">
        <v>151</v>
      </c>
      <c r="J4">
        <v>2</v>
      </c>
      <c r="K4">
        <v>2023</v>
      </c>
      <c r="L4" t="s">
        <v>975</v>
      </c>
    </row>
    <row r="5" spans="1:12" x14ac:dyDescent="0.2">
      <c r="A5" t="s">
        <v>561</v>
      </c>
      <c r="B5" s="88">
        <v>45061</v>
      </c>
      <c r="C5" t="s">
        <v>962</v>
      </c>
      <c r="D5" t="s">
        <v>551</v>
      </c>
      <c r="E5" t="s">
        <v>16</v>
      </c>
      <c r="F5" t="s">
        <v>548</v>
      </c>
      <c r="G5" t="s">
        <v>960</v>
      </c>
      <c r="H5" t="s">
        <v>43</v>
      </c>
      <c r="I5" t="s">
        <v>152</v>
      </c>
      <c r="J5">
        <v>2</v>
      </c>
      <c r="K5">
        <v>2023</v>
      </c>
      <c r="L5" t="s">
        <v>976</v>
      </c>
    </row>
    <row r="6" spans="1:12" x14ac:dyDescent="0.2">
      <c r="A6" t="s">
        <v>562</v>
      </c>
      <c r="B6" s="88">
        <v>45061</v>
      </c>
      <c r="C6" t="s">
        <v>962</v>
      </c>
      <c r="D6" t="s">
        <v>551</v>
      </c>
      <c r="E6" t="s">
        <v>16</v>
      </c>
      <c r="F6" t="s">
        <v>548</v>
      </c>
      <c r="G6" t="s">
        <v>960</v>
      </c>
      <c r="H6" t="s">
        <v>43</v>
      </c>
      <c r="I6" t="s">
        <v>151</v>
      </c>
      <c r="J6">
        <v>3</v>
      </c>
      <c r="K6">
        <v>2023</v>
      </c>
      <c r="L6" t="s">
        <v>977</v>
      </c>
    </row>
    <row r="7" spans="1:12" x14ac:dyDescent="0.2">
      <c r="A7" t="s">
        <v>563</v>
      </c>
      <c r="B7" s="88">
        <v>45061</v>
      </c>
      <c r="C7" t="s">
        <v>962</v>
      </c>
      <c r="D7" t="s">
        <v>551</v>
      </c>
      <c r="E7" t="s">
        <v>16</v>
      </c>
      <c r="F7" t="s">
        <v>548</v>
      </c>
      <c r="G7" t="s">
        <v>960</v>
      </c>
      <c r="H7" t="s">
        <v>43</v>
      </c>
      <c r="I7" t="s">
        <v>152</v>
      </c>
      <c r="J7">
        <v>3</v>
      </c>
      <c r="K7">
        <v>2023</v>
      </c>
      <c r="L7" t="s">
        <v>978</v>
      </c>
    </row>
    <row r="8" spans="1:12" x14ac:dyDescent="0.2">
      <c r="A8" t="s">
        <v>564</v>
      </c>
      <c r="B8" s="88">
        <v>45061</v>
      </c>
      <c r="C8" t="s">
        <v>962</v>
      </c>
      <c r="D8" t="s">
        <v>551</v>
      </c>
      <c r="E8" t="s">
        <v>16</v>
      </c>
      <c r="F8" t="s">
        <v>548</v>
      </c>
      <c r="G8" t="s">
        <v>960</v>
      </c>
      <c r="H8" t="s">
        <v>74</v>
      </c>
      <c r="I8" t="s">
        <v>151</v>
      </c>
      <c r="J8">
        <v>1</v>
      </c>
      <c r="K8">
        <v>2023</v>
      </c>
      <c r="L8" t="s">
        <v>979</v>
      </c>
    </row>
    <row r="9" spans="1:12" x14ac:dyDescent="0.2">
      <c r="A9" t="s">
        <v>565</v>
      </c>
      <c r="B9" s="88">
        <v>45061</v>
      </c>
      <c r="C9" t="s">
        <v>962</v>
      </c>
      <c r="D9" t="s">
        <v>551</v>
      </c>
      <c r="E9" t="s">
        <v>16</v>
      </c>
      <c r="F9" t="s">
        <v>548</v>
      </c>
      <c r="G9" t="s">
        <v>960</v>
      </c>
      <c r="H9" t="s">
        <v>74</v>
      </c>
      <c r="I9" t="s">
        <v>152</v>
      </c>
      <c r="J9">
        <v>1</v>
      </c>
      <c r="K9">
        <v>2023</v>
      </c>
      <c r="L9" t="s">
        <v>980</v>
      </c>
    </row>
    <row r="10" spans="1:12" x14ac:dyDescent="0.2">
      <c r="A10" t="s">
        <v>572</v>
      </c>
      <c r="B10" s="88">
        <v>45061</v>
      </c>
      <c r="C10" t="s">
        <v>962</v>
      </c>
      <c r="D10" t="s">
        <v>551</v>
      </c>
      <c r="E10" t="s">
        <v>16</v>
      </c>
      <c r="F10" t="s">
        <v>548</v>
      </c>
      <c r="G10" t="s">
        <v>960</v>
      </c>
      <c r="H10" t="s">
        <v>74</v>
      </c>
      <c r="I10" t="s">
        <v>151</v>
      </c>
      <c r="J10">
        <v>2</v>
      </c>
      <c r="K10">
        <v>2023</v>
      </c>
      <c r="L10" t="s">
        <v>981</v>
      </c>
    </row>
    <row r="11" spans="1:12" x14ac:dyDescent="0.2">
      <c r="A11" t="s">
        <v>573</v>
      </c>
      <c r="B11" s="88">
        <v>45061</v>
      </c>
      <c r="C11" t="s">
        <v>962</v>
      </c>
      <c r="D11" t="s">
        <v>551</v>
      </c>
      <c r="E11" t="s">
        <v>16</v>
      </c>
      <c r="F11" t="s">
        <v>548</v>
      </c>
      <c r="G11" t="s">
        <v>960</v>
      </c>
      <c r="H11" t="s">
        <v>74</v>
      </c>
      <c r="I11" t="s">
        <v>152</v>
      </c>
      <c r="J11">
        <v>2</v>
      </c>
      <c r="K11">
        <v>2023</v>
      </c>
      <c r="L11" t="s">
        <v>982</v>
      </c>
    </row>
    <row r="12" spans="1:12" x14ac:dyDescent="0.2">
      <c r="A12" t="s">
        <v>574</v>
      </c>
      <c r="B12" s="88">
        <v>45061</v>
      </c>
      <c r="C12" t="s">
        <v>962</v>
      </c>
      <c r="D12" t="s">
        <v>551</v>
      </c>
      <c r="E12" t="s">
        <v>16</v>
      </c>
      <c r="F12" t="s">
        <v>548</v>
      </c>
      <c r="G12" t="s">
        <v>960</v>
      </c>
      <c r="H12" t="s">
        <v>74</v>
      </c>
      <c r="I12" t="s">
        <v>151</v>
      </c>
      <c r="J12">
        <v>3</v>
      </c>
      <c r="K12">
        <v>2023</v>
      </c>
      <c r="L12" t="s">
        <v>983</v>
      </c>
    </row>
    <row r="13" spans="1:12" x14ac:dyDescent="0.2">
      <c r="A13" t="s">
        <v>575</v>
      </c>
      <c r="B13" s="88">
        <v>45061</v>
      </c>
      <c r="C13" t="s">
        <v>962</v>
      </c>
      <c r="D13" t="s">
        <v>551</v>
      </c>
      <c r="E13" t="s">
        <v>16</v>
      </c>
      <c r="F13" t="s">
        <v>548</v>
      </c>
      <c r="G13" t="s">
        <v>960</v>
      </c>
      <c r="H13" t="s">
        <v>74</v>
      </c>
      <c r="I13" t="s">
        <v>152</v>
      </c>
      <c r="J13">
        <v>3</v>
      </c>
      <c r="K13">
        <v>2023</v>
      </c>
      <c r="L13" t="s">
        <v>984</v>
      </c>
    </row>
    <row r="14" spans="1:12" x14ac:dyDescent="0.2">
      <c r="A14" t="s">
        <v>568</v>
      </c>
      <c r="B14" s="88">
        <v>45061</v>
      </c>
      <c r="C14" t="s">
        <v>962</v>
      </c>
      <c r="D14" t="s">
        <v>551</v>
      </c>
      <c r="E14" t="s">
        <v>16</v>
      </c>
      <c r="F14" t="s">
        <v>548</v>
      </c>
      <c r="G14" t="s">
        <v>960</v>
      </c>
      <c r="H14" t="s">
        <v>51</v>
      </c>
      <c r="I14" t="s">
        <v>151</v>
      </c>
      <c r="J14">
        <v>1</v>
      </c>
      <c r="K14">
        <v>2023</v>
      </c>
      <c r="L14" t="s">
        <v>985</v>
      </c>
    </row>
    <row r="15" spans="1:12" x14ac:dyDescent="0.2">
      <c r="A15" t="s">
        <v>569</v>
      </c>
      <c r="B15" s="88">
        <v>45061</v>
      </c>
      <c r="C15" t="s">
        <v>962</v>
      </c>
      <c r="D15" t="s">
        <v>551</v>
      </c>
      <c r="E15" t="s">
        <v>16</v>
      </c>
      <c r="F15" t="s">
        <v>548</v>
      </c>
      <c r="G15" t="s">
        <v>960</v>
      </c>
      <c r="H15" t="s">
        <v>51</v>
      </c>
      <c r="I15" t="s">
        <v>152</v>
      </c>
      <c r="J15">
        <v>1</v>
      </c>
      <c r="K15">
        <v>2023</v>
      </c>
      <c r="L15" t="s">
        <v>986</v>
      </c>
    </row>
    <row r="16" spans="1:12" x14ac:dyDescent="0.2">
      <c r="A16" t="s">
        <v>576</v>
      </c>
      <c r="B16" s="88">
        <v>45061</v>
      </c>
      <c r="C16" t="s">
        <v>962</v>
      </c>
      <c r="D16" t="s">
        <v>551</v>
      </c>
      <c r="E16" t="s">
        <v>16</v>
      </c>
      <c r="F16" t="s">
        <v>548</v>
      </c>
      <c r="G16" t="s">
        <v>960</v>
      </c>
      <c r="H16" t="s">
        <v>51</v>
      </c>
      <c r="I16" t="s">
        <v>151</v>
      </c>
      <c r="J16">
        <v>2</v>
      </c>
      <c r="K16">
        <v>2023</v>
      </c>
      <c r="L16" t="s">
        <v>987</v>
      </c>
    </row>
    <row r="17" spans="1:12" x14ac:dyDescent="0.2">
      <c r="A17" t="s">
        <v>577</v>
      </c>
      <c r="B17" s="88">
        <v>45061</v>
      </c>
      <c r="C17" t="s">
        <v>962</v>
      </c>
      <c r="D17" t="s">
        <v>551</v>
      </c>
      <c r="E17" t="s">
        <v>16</v>
      </c>
      <c r="F17" t="s">
        <v>548</v>
      </c>
      <c r="G17" t="s">
        <v>960</v>
      </c>
      <c r="H17" t="s">
        <v>51</v>
      </c>
      <c r="I17" t="s">
        <v>152</v>
      </c>
      <c r="J17">
        <v>2</v>
      </c>
      <c r="K17">
        <v>2023</v>
      </c>
      <c r="L17" t="s">
        <v>988</v>
      </c>
    </row>
    <row r="18" spans="1:12" x14ac:dyDescent="0.2">
      <c r="A18" t="s">
        <v>578</v>
      </c>
      <c r="B18" s="88">
        <v>45061</v>
      </c>
      <c r="C18" t="s">
        <v>962</v>
      </c>
      <c r="D18" t="s">
        <v>551</v>
      </c>
      <c r="E18" t="s">
        <v>16</v>
      </c>
      <c r="F18" t="s">
        <v>548</v>
      </c>
      <c r="G18" t="s">
        <v>960</v>
      </c>
      <c r="H18" t="s">
        <v>51</v>
      </c>
      <c r="I18" t="s">
        <v>151</v>
      </c>
      <c r="J18">
        <v>3</v>
      </c>
      <c r="K18">
        <v>2023</v>
      </c>
      <c r="L18" t="s">
        <v>989</v>
      </c>
    </row>
    <row r="19" spans="1:12" x14ac:dyDescent="0.2">
      <c r="A19" t="s">
        <v>579</v>
      </c>
      <c r="B19" s="88">
        <v>45061</v>
      </c>
      <c r="C19" t="s">
        <v>962</v>
      </c>
      <c r="D19" t="s">
        <v>551</v>
      </c>
      <c r="E19" t="s">
        <v>16</v>
      </c>
      <c r="F19" t="s">
        <v>548</v>
      </c>
      <c r="G19" t="s">
        <v>960</v>
      </c>
      <c r="H19" t="s">
        <v>51</v>
      </c>
      <c r="I19" t="s">
        <v>152</v>
      </c>
      <c r="J19">
        <v>3</v>
      </c>
      <c r="K19">
        <v>2023</v>
      </c>
      <c r="L19" t="s">
        <v>990</v>
      </c>
    </row>
    <row r="20" spans="1:12" x14ac:dyDescent="0.2">
      <c r="A20" t="s">
        <v>580</v>
      </c>
      <c r="B20" s="88">
        <v>45061</v>
      </c>
      <c r="C20" t="s">
        <v>962</v>
      </c>
      <c r="D20" t="s">
        <v>551</v>
      </c>
      <c r="E20" t="s">
        <v>16</v>
      </c>
      <c r="F20" t="s">
        <v>548</v>
      </c>
      <c r="G20" t="s">
        <v>960</v>
      </c>
      <c r="H20" t="s">
        <v>60</v>
      </c>
      <c r="I20" t="s">
        <v>151</v>
      </c>
      <c r="J20">
        <v>1</v>
      </c>
      <c r="K20">
        <v>2023</v>
      </c>
      <c r="L20" t="s">
        <v>991</v>
      </c>
    </row>
    <row r="21" spans="1:12" x14ac:dyDescent="0.2">
      <c r="A21" t="s">
        <v>581</v>
      </c>
      <c r="B21" s="88">
        <v>45061</v>
      </c>
      <c r="C21" t="s">
        <v>962</v>
      </c>
      <c r="D21" t="s">
        <v>551</v>
      </c>
      <c r="E21" t="s">
        <v>16</v>
      </c>
      <c r="F21" t="s">
        <v>548</v>
      </c>
      <c r="G21" t="s">
        <v>960</v>
      </c>
      <c r="H21" t="s">
        <v>60</v>
      </c>
      <c r="I21" t="s">
        <v>152</v>
      </c>
      <c r="J21">
        <v>1</v>
      </c>
      <c r="K21">
        <v>2023</v>
      </c>
      <c r="L21" t="s">
        <v>992</v>
      </c>
    </row>
    <row r="22" spans="1:12" x14ac:dyDescent="0.2">
      <c r="A22" t="s">
        <v>592</v>
      </c>
      <c r="B22" s="88">
        <v>45061</v>
      </c>
      <c r="C22" t="s">
        <v>962</v>
      </c>
      <c r="D22" t="s">
        <v>551</v>
      </c>
      <c r="E22" t="s">
        <v>16</v>
      </c>
      <c r="F22" t="s">
        <v>548</v>
      </c>
      <c r="G22" t="s">
        <v>960</v>
      </c>
      <c r="H22" t="s">
        <v>60</v>
      </c>
      <c r="I22" t="s">
        <v>151</v>
      </c>
      <c r="J22">
        <v>2</v>
      </c>
      <c r="K22">
        <v>2023</v>
      </c>
      <c r="L22" t="s">
        <v>993</v>
      </c>
    </row>
    <row r="23" spans="1:12" x14ac:dyDescent="0.2">
      <c r="A23" t="s">
        <v>593</v>
      </c>
      <c r="B23" s="88">
        <v>45061</v>
      </c>
      <c r="C23" t="s">
        <v>962</v>
      </c>
      <c r="D23" t="s">
        <v>551</v>
      </c>
      <c r="E23" t="s">
        <v>16</v>
      </c>
      <c r="F23" t="s">
        <v>548</v>
      </c>
      <c r="G23" t="s">
        <v>960</v>
      </c>
      <c r="H23" t="s">
        <v>60</v>
      </c>
      <c r="I23" t="s">
        <v>152</v>
      </c>
      <c r="J23">
        <v>2</v>
      </c>
      <c r="K23">
        <v>2023</v>
      </c>
      <c r="L23" t="s">
        <v>994</v>
      </c>
    </row>
    <row r="24" spans="1:12" x14ac:dyDescent="0.2">
      <c r="A24" t="s">
        <v>594</v>
      </c>
      <c r="B24" s="88">
        <v>45061</v>
      </c>
      <c r="C24" t="s">
        <v>962</v>
      </c>
      <c r="D24" t="s">
        <v>551</v>
      </c>
      <c r="E24" t="s">
        <v>16</v>
      </c>
      <c r="F24" t="s">
        <v>548</v>
      </c>
      <c r="G24" t="s">
        <v>960</v>
      </c>
      <c r="H24" t="s">
        <v>60</v>
      </c>
      <c r="I24" t="s">
        <v>151</v>
      </c>
      <c r="J24">
        <v>3</v>
      </c>
      <c r="K24">
        <v>2023</v>
      </c>
      <c r="L24" t="s">
        <v>995</v>
      </c>
    </row>
    <row r="25" spans="1:12" x14ac:dyDescent="0.2">
      <c r="A25" t="s">
        <v>595</v>
      </c>
      <c r="B25" s="88">
        <v>45061</v>
      </c>
      <c r="C25" t="s">
        <v>962</v>
      </c>
      <c r="D25" t="s">
        <v>551</v>
      </c>
      <c r="E25" t="s">
        <v>16</v>
      </c>
      <c r="F25" t="s">
        <v>548</v>
      </c>
      <c r="G25" t="s">
        <v>960</v>
      </c>
      <c r="H25" t="s">
        <v>60</v>
      </c>
      <c r="I25" t="s">
        <v>152</v>
      </c>
      <c r="J25">
        <v>3</v>
      </c>
      <c r="K25">
        <v>2023</v>
      </c>
      <c r="L25" t="s">
        <v>996</v>
      </c>
    </row>
    <row r="26" spans="1:12" x14ac:dyDescent="0.2">
      <c r="A26" t="s">
        <v>584</v>
      </c>
      <c r="B26" s="88">
        <v>45061</v>
      </c>
      <c r="C26" t="s">
        <v>962</v>
      </c>
      <c r="D26" t="s">
        <v>551</v>
      </c>
      <c r="E26" t="s">
        <v>16</v>
      </c>
      <c r="F26" t="s">
        <v>548</v>
      </c>
      <c r="G26" t="s">
        <v>960</v>
      </c>
      <c r="H26" t="s">
        <v>36</v>
      </c>
      <c r="I26" t="s">
        <v>151</v>
      </c>
      <c r="J26">
        <v>1</v>
      </c>
      <c r="K26">
        <v>2023</v>
      </c>
      <c r="L26" t="s">
        <v>997</v>
      </c>
    </row>
    <row r="27" spans="1:12" x14ac:dyDescent="0.2">
      <c r="A27" t="s">
        <v>585</v>
      </c>
      <c r="B27" s="88">
        <v>45061</v>
      </c>
      <c r="C27" t="s">
        <v>962</v>
      </c>
      <c r="D27" t="s">
        <v>551</v>
      </c>
      <c r="E27" t="s">
        <v>16</v>
      </c>
      <c r="F27" t="s">
        <v>548</v>
      </c>
      <c r="G27" t="s">
        <v>960</v>
      </c>
      <c r="H27" t="s">
        <v>36</v>
      </c>
      <c r="I27" t="s">
        <v>152</v>
      </c>
      <c r="J27">
        <v>1</v>
      </c>
      <c r="K27">
        <v>2023</v>
      </c>
      <c r="L27" t="s">
        <v>998</v>
      </c>
    </row>
    <row r="28" spans="1:12" x14ac:dyDescent="0.2">
      <c r="A28" t="s">
        <v>596</v>
      </c>
      <c r="B28" s="88">
        <v>45061</v>
      </c>
      <c r="C28" t="s">
        <v>962</v>
      </c>
      <c r="D28" t="s">
        <v>551</v>
      </c>
      <c r="E28" t="s">
        <v>16</v>
      </c>
      <c r="F28" t="s">
        <v>548</v>
      </c>
      <c r="G28" t="s">
        <v>960</v>
      </c>
      <c r="H28" t="s">
        <v>36</v>
      </c>
      <c r="I28" t="s">
        <v>151</v>
      </c>
      <c r="J28">
        <v>2</v>
      </c>
      <c r="K28">
        <v>2023</v>
      </c>
      <c r="L28" t="s">
        <v>999</v>
      </c>
    </row>
    <row r="29" spans="1:12" x14ac:dyDescent="0.2">
      <c r="A29" t="s">
        <v>597</v>
      </c>
      <c r="B29" s="88">
        <v>45061</v>
      </c>
      <c r="C29" t="s">
        <v>962</v>
      </c>
      <c r="D29" t="s">
        <v>551</v>
      </c>
      <c r="E29" t="s">
        <v>16</v>
      </c>
      <c r="F29" t="s">
        <v>548</v>
      </c>
      <c r="G29" t="s">
        <v>960</v>
      </c>
      <c r="H29" t="s">
        <v>36</v>
      </c>
      <c r="I29" t="s">
        <v>152</v>
      </c>
      <c r="J29">
        <v>2</v>
      </c>
      <c r="K29">
        <v>2023</v>
      </c>
      <c r="L29" t="s">
        <v>1000</v>
      </c>
    </row>
    <row r="30" spans="1:12" x14ac:dyDescent="0.2">
      <c r="A30" t="s">
        <v>598</v>
      </c>
      <c r="B30" s="88">
        <v>45061</v>
      </c>
      <c r="C30" t="s">
        <v>962</v>
      </c>
      <c r="D30" t="s">
        <v>551</v>
      </c>
      <c r="E30" t="s">
        <v>16</v>
      </c>
      <c r="F30" t="s">
        <v>548</v>
      </c>
      <c r="G30" t="s">
        <v>960</v>
      </c>
      <c r="H30" t="s">
        <v>36</v>
      </c>
      <c r="I30" t="s">
        <v>151</v>
      </c>
      <c r="J30">
        <v>3</v>
      </c>
      <c r="K30">
        <v>2023</v>
      </c>
      <c r="L30" t="s">
        <v>1001</v>
      </c>
    </row>
    <row r="31" spans="1:12" x14ac:dyDescent="0.2">
      <c r="A31" t="s">
        <v>599</v>
      </c>
      <c r="B31" s="88">
        <v>45061</v>
      </c>
      <c r="C31" t="s">
        <v>962</v>
      </c>
      <c r="D31" t="s">
        <v>551</v>
      </c>
      <c r="E31" t="s">
        <v>16</v>
      </c>
      <c r="F31" t="s">
        <v>548</v>
      </c>
      <c r="G31" t="s">
        <v>960</v>
      </c>
      <c r="H31" t="s">
        <v>36</v>
      </c>
      <c r="I31" t="s">
        <v>152</v>
      </c>
      <c r="J31">
        <v>3</v>
      </c>
      <c r="K31">
        <v>2023</v>
      </c>
      <c r="L31" t="s">
        <v>1002</v>
      </c>
    </row>
    <row r="32" spans="1:12" x14ac:dyDescent="0.2">
      <c r="A32" t="s">
        <v>588</v>
      </c>
      <c r="B32" s="88">
        <v>45061</v>
      </c>
      <c r="C32" t="s">
        <v>962</v>
      </c>
      <c r="D32" t="s">
        <v>551</v>
      </c>
      <c r="E32" t="s">
        <v>16</v>
      </c>
      <c r="F32" t="s">
        <v>548</v>
      </c>
      <c r="G32" t="s">
        <v>960</v>
      </c>
      <c r="H32" t="s">
        <v>45</v>
      </c>
      <c r="I32" t="s">
        <v>151</v>
      </c>
      <c r="J32">
        <v>1</v>
      </c>
      <c r="K32">
        <v>2023</v>
      </c>
      <c r="L32" t="s">
        <v>1003</v>
      </c>
    </row>
    <row r="33" spans="1:12" x14ac:dyDescent="0.2">
      <c r="A33" t="s">
        <v>589</v>
      </c>
      <c r="B33" s="88">
        <v>45061</v>
      </c>
      <c r="C33" t="s">
        <v>962</v>
      </c>
      <c r="D33" t="s">
        <v>551</v>
      </c>
      <c r="E33" t="s">
        <v>16</v>
      </c>
      <c r="F33" t="s">
        <v>548</v>
      </c>
      <c r="G33" t="s">
        <v>960</v>
      </c>
      <c r="H33" t="s">
        <v>45</v>
      </c>
      <c r="I33" t="s">
        <v>152</v>
      </c>
      <c r="J33">
        <v>1</v>
      </c>
      <c r="K33">
        <v>2023</v>
      </c>
      <c r="L33" t="s">
        <v>1004</v>
      </c>
    </row>
    <row r="34" spans="1:12" x14ac:dyDescent="0.2">
      <c r="A34" t="s">
        <v>600</v>
      </c>
      <c r="B34" s="88">
        <v>45061</v>
      </c>
      <c r="C34" t="s">
        <v>962</v>
      </c>
      <c r="D34" t="s">
        <v>551</v>
      </c>
      <c r="E34" t="s">
        <v>16</v>
      </c>
      <c r="F34" t="s">
        <v>548</v>
      </c>
      <c r="G34" t="s">
        <v>960</v>
      </c>
      <c r="H34" t="s">
        <v>45</v>
      </c>
      <c r="I34" t="s">
        <v>151</v>
      </c>
      <c r="J34">
        <v>2</v>
      </c>
      <c r="K34">
        <v>2023</v>
      </c>
      <c r="L34" t="s">
        <v>1005</v>
      </c>
    </row>
    <row r="35" spans="1:12" x14ac:dyDescent="0.2">
      <c r="A35" t="s">
        <v>601</v>
      </c>
      <c r="B35" s="88">
        <v>45061</v>
      </c>
      <c r="C35" t="s">
        <v>962</v>
      </c>
      <c r="D35" t="s">
        <v>551</v>
      </c>
      <c r="E35" t="s">
        <v>16</v>
      </c>
      <c r="F35" t="s">
        <v>548</v>
      </c>
      <c r="G35" t="s">
        <v>960</v>
      </c>
      <c r="H35" t="s">
        <v>45</v>
      </c>
      <c r="I35" t="s">
        <v>152</v>
      </c>
      <c r="J35">
        <v>2</v>
      </c>
      <c r="K35">
        <v>2023</v>
      </c>
      <c r="L35" t="s">
        <v>1006</v>
      </c>
    </row>
    <row r="36" spans="1:12" x14ac:dyDescent="0.2">
      <c r="A36" t="s">
        <v>602</v>
      </c>
      <c r="B36" s="88">
        <v>45061</v>
      </c>
      <c r="C36" t="s">
        <v>962</v>
      </c>
      <c r="D36" t="s">
        <v>551</v>
      </c>
      <c r="E36" t="s">
        <v>16</v>
      </c>
      <c r="F36" t="s">
        <v>548</v>
      </c>
      <c r="G36" t="s">
        <v>960</v>
      </c>
      <c r="H36" t="s">
        <v>45</v>
      </c>
      <c r="I36" t="s">
        <v>151</v>
      </c>
      <c r="J36">
        <v>3</v>
      </c>
      <c r="K36">
        <v>2023</v>
      </c>
      <c r="L36" t="s">
        <v>1007</v>
      </c>
    </row>
    <row r="37" spans="1:12" x14ac:dyDescent="0.2">
      <c r="A37" t="s">
        <v>603</v>
      </c>
      <c r="B37" s="88">
        <v>45061</v>
      </c>
      <c r="C37" t="s">
        <v>962</v>
      </c>
      <c r="D37" t="s">
        <v>551</v>
      </c>
      <c r="E37" t="s">
        <v>16</v>
      </c>
      <c r="F37" t="s">
        <v>548</v>
      </c>
      <c r="G37" t="s">
        <v>960</v>
      </c>
      <c r="H37" t="s">
        <v>45</v>
      </c>
      <c r="I37" t="s">
        <v>152</v>
      </c>
      <c r="J37">
        <v>3</v>
      </c>
      <c r="K37">
        <v>2023</v>
      </c>
      <c r="L37" t="s">
        <v>1008</v>
      </c>
    </row>
    <row r="38" spans="1:12" x14ac:dyDescent="0.2">
      <c r="A38" t="s">
        <v>604</v>
      </c>
      <c r="B38" s="88">
        <v>45061</v>
      </c>
      <c r="C38" t="s">
        <v>962</v>
      </c>
      <c r="D38" t="s">
        <v>8</v>
      </c>
      <c r="E38" t="s">
        <v>9</v>
      </c>
      <c r="F38" t="s">
        <v>545</v>
      </c>
      <c r="G38" t="s">
        <v>960</v>
      </c>
      <c r="H38" t="s">
        <v>43</v>
      </c>
      <c r="I38" t="s">
        <v>151</v>
      </c>
      <c r="J38">
        <v>1</v>
      </c>
      <c r="K38">
        <v>2023</v>
      </c>
      <c r="L38" t="s">
        <v>1009</v>
      </c>
    </row>
    <row r="39" spans="1:12" x14ac:dyDescent="0.2">
      <c r="A39" t="s">
        <v>605</v>
      </c>
      <c r="B39" s="88">
        <v>45061</v>
      </c>
      <c r="C39" t="s">
        <v>962</v>
      </c>
      <c r="D39" t="s">
        <v>8</v>
      </c>
      <c r="E39" t="s">
        <v>9</v>
      </c>
      <c r="F39" t="s">
        <v>545</v>
      </c>
      <c r="G39" t="s">
        <v>960</v>
      </c>
      <c r="H39" t="s">
        <v>43</v>
      </c>
      <c r="I39" t="s">
        <v>152</v>
      </c>
      <c r="J39">
        <v>1</v>
      </c>
      <c r="K39">
        <v>2023</v>
      </c>
      <c r="L39" t="s">
        <v>1010</v>
      </c>
    </row>
    <row r="40" spans="1:12" x14ac:dyDescent="0.2">
      <c r="A40" t="s">
        <v>608</v>
      </c>
      <c r="B40" s="88">
        <v>45061</v>
      </c>
      <c r="C40" t="s">
        <v>962</v>
      </c>
      <c r="D40" t="s">
        <v>8</v>
      </c>
      <c r="E40" t="s">
        <v>9</v>
      </c>
      <c r="F40" t="s">
        <v>545</v>
      </c>
      <c r="G40" t="s">
        <v>960</v>
      </c>
      <c r="H40" t="s">
        <v>43</v>
      </c>
      <c r="I40" t="s">
        <v>151</v>
      </c>
      <c r="J40">
        <v>2</v>
      </c>
      <c r="K40">
        <v>2023</v>
      </c>
      <c r="L40" t="s">
        <v>1011</v>
      </c>
    </row>
    <row r="41" spans="1:12" x14ac:dyDescent="0.2">
      <c r="A41" t="s">
        <v>609</v>
      </c>
      <c r="B41" s="88">
        <v>45061</v>
      </c>
      <c r="C41" t="s">
        <v>962</v>
      </c>
      <c r="D41" t="s">
        <v>8</v>
      </c>
      <c r="E41" t="s">
        <v>9</v>
      </c>
      <c r="F41" t="s">
        <v>545</v>
      </c>
      <c r="G41" t="s">
        <v>960</v>
      </c>
      <c r="H41" t="s">
        <v>43</v>
      </c>
      <c r="I41" t="s">
        <v>152</v>
      </c>
      <c r="J41">
        <v>2</v>
      </c>
      <c r="K41">
        <v>2023</v>
      </c>
      <c r="L41" t="s">
        <v>1012</v>
      </c>
    </row>
    <row r="42" spans="1:12" x14ac:dyDescent="0.2">
      <c r="A42" t="s">
        <v>610</v>
      </c>
      <c r="B42" s="88">
        <v>45061</v>
      </c>
      <c r="C42" t="s">
        <v>962</v>
      </c>
      <c r="D42" t="s">
        <v>8</v>
      </c>
      <c r="E42" t="s">
        <v>9</v>
      </c>
      <c r="F42" t="s">
        <v>545</v>
      </c>
      <c r="G42" t="s">
        <v>960</v>
      </c>
      <c r="H42" t="s">
        <v>43</v>
      </c>
      <c r="I42" t="s">
        <v>151</v>
      </c>
      <c r="J42">
        <v>3</v>
      </c>
      <c r="K42">
        <v>2023</v>
      </c>
      <c r="L42" t="s">
        <v>1013</v>
      </c>
    </row>
    <row r="43" spans="1:12" x14ac:dyDescent="0.2">
      <c r="A43" t="s">
        <v>611</v>
      </c>
      <c r="B43" s="88">
        <v>45061</v>
      </c>
      <c r="C43" t="s">
        <v>962</v>
      </c>
      <c r="D43" t="s">
        <v>8</v>
      </c>
      <c r="E43" t="s">
        <v>9</v>
      </c>
      <c r="F43" t="s">
        <v>545</v>
      </c>
      <c r="G43" t="s">
        <v>960</v>
      </c>
      <c r="H43" t="s">
        <v>43</v>
      </c>
      <c r="I43" t="s">
        <v>152</v>
      </c>
      <c r="J43">
        <v>3</v>
      </c>
      <c r="K43">
        <v>2023</v>
      </c>
      <c r="L43" t="s">
        <v>1014</v>
      </c>
    </row>
    <row r="44" spans="1:12" x14ac:dyDescent="0.2">
      <c r="A44" t="s">
        <v>612</v>
      </c>
      <c r="B44" s="88">
        <v>45061</v>
      </c>
      <c r="C44" t="s">
        <v>962</v>
      </c>
      <c r="D44" t="s">
        <v>8</v>
      </c>
      <c r="E44" t="s">
        <v>9</v>
      </c>
      <c r="F44" t="s">
        <v>545</v>
      </c>
      <c r="G44" t="s">
        <v>960</v>
      </c>
      <c r="H44" t="s">
        <v>74</v>
      </c>
      <c r="I44" t="s">
        <v>151</v>
      </c>
      <c r="J44">
        <v>1</v>
      </c>
      <c r="K44">
        <v>2023</v>
      </c>
      <c r="L44" t="s">
        <v>1015</v>
      </c>
    </row>
    <row r="45" spans="1:12" x14ac:dyDescent="0.2">
      <c r="A45" t="s">
        <v>615</v>
      </c>
      <c r="B45" s="88">
        <v>45061</v>
      </c>
      <c r="C45" t="s">
        <v>962</v>
      </c>
      <c r="D45" t="s">
        <v>8</v>
      </c>
      <c r="E45" t="s">
        <v>9</v>
      </c>
      <c r="F45" t="s">
        <v>545</v>
      </c>
      <c r="G45" t="s">
        <v>960</v>
      </c>
      <c r="H45" t="s">
        <v>74</v>
      </c>
      <c r="I45" t="s">
        <v>152</v>
      </c>
      <c r="J45">
        <v>1</v>
      </c>
      <c r="K45">
        <v>2023</v>
      </c>
      <c r="L45" t="s">
        <v>1016</v>
      </c>
    </row>
    <row r="46" spans="1:12" x14ac:dyDescent="0.2">
      <c r="A46" t="s">
        <v>616</v>
      </c>
      <c r="B46" s="88">
        <v>45061</v>
      </c>
      <c r="C46" t="s">
        <v>962</v>
      </c>
      <c r="D46" t="s">
        <v>8</v>
      </c>
      <c r="E46" t="s">
        <v>9</v>
      </c>
      <c r="F46" t="s">
        <v>545</v>
      </c>
      <c r="G46" t="s">
        <v>960</v>
      </c>
      <c r="H46" t="s">
        <v>74</v>
      </c>
      <c r="I46" t="s">
        <v>151</v>
      </c>
      <c r="J46">
        <v>2</v>
      </c>
      <c r="K46">
        <v>2023</v>
      </c>
      <c r="L46" t="s">
        <v>1017</v>
      </c>
    </row>
    <row r="47" spans="1:12" x14ac:dyDescent="0.2">
      <c r="A47" t="s">
        <v>617</v>
      </c>
      <c r="B47" s="88">
        <v>45061</v>
      </c>
      <c r="C47" t="s">
        <v>962</v>
      </c>
      <c r="D47" t="s">
        <v>8</v>
      </c>
      <c r="E47" t="s">
        <v>9</v>
      </c>
      <c r="F47" t="s">
        <v>545</v>
      </c>
      <c r="G47" t="s">
        <v>960</v>
      </c>
      <c r="H47" t="s">
        <v>74</v>
      </c>
      <c r="I47" t="s">
        <v>152</v>
      </c>
      <c r="J47">
        <v>2</v>
      </c>
      <c r="K47">
        <v>2023</v>
      </c>
      <c r="L47" t="s">
        <v>1018</v>
      </c>
    </row>
    <row r="48" spans="1:12" x14ac:dyDescent="0.2">
      <c r="A48" t="s">
        <v>618</v>
      </c>
      <c r="B48" s="88">
        <v>45061</v>
      </c>
      <c r="C48" t="s">
        <v>962</v>
      </c>
      <c r="D48" t="s">
        <v>8</v>
      </c>
      <c r="E48" t="s">
        <v>9</v>
      </c>
      <c r="F48" t="s">
        <v>545</v>
      </c>
      <c r="G48" t="s">
        <v>960</v>
      </c>
      <c r="H48" t="s">
        <v>74</v>
      </c>
      <c r="I48" t="s">
        <v>151</v>
      </c>
      <c r="J48">
        <v>3</v>
      </c>
      <c r="K48">
        <v>2023</v>
      </c>
      <c r="L48" t="s">
        <v>1019</v>
      </c>
    </row>
    <row r="49" spans="1:12" x14ac:dyDescent="0.2">
      <c r="A49" t="s">
        <v>619</v>
      </c>
      <c r="B49" s="88">
        <v>45061</v>
      </c>
      <c r="C49" t="s">
        <v>962</v>
      </c>
      <c r="D49" t="s">
        <v>8</v>
      </c>
      <c r="E49" t="s">
        <v>9</v>
      </c>
      <c r="F49" t="s">
        <v>545</v>
      </c>
      <c r="G49" t="s">
        <v>960</v>
      </c>
      <c r="H49" t="s">
        <v>74</v>
      </c>
      <c r="I49" t="s">
        <v>152</v>
      </c>
      <c r="J49">
        <v>3</v>
      </c>
      <c r="K49">
        <v>2023</v>
      </c>
      <c r="L49" t="s">
        <v>1020</v>
      </c>
    </row>
    <row r="50" spans="1:12" x14ac:dyDescent="0.2">
      <c r="A50" t="s">
        <v>620</v>
      </c>
      <c r="B50" s="88">
        <v>45061</v>
      </c>
      <c r="C50" t="s">
        <v>962</v>
      </c>
      <c r="D50" t="s">
        <v>8</v>
      </c>
      <c r="E50" t="s">
        <v>9</v>
      </c>
      <c r="F50" t="s">
        <v>545</v>
      </c>
      <c r="G50" t="s">
        <v>960</v>
      </c>
      <c r="H50" t="s">
        <v>51</v>
      </c>
      <c r="I50" t="s">
        <v>151</v>
      </c>
      <c r="J50">
        <v>1</v>
      </c>
      <c r="K50">
        <v>2023</v>
      </c>
      <c r="L50" t="s">
        <v>1021</v>
      </c>
    </row>
    <row r="51" spans="1:12" x14ac:dyDescent="0.2">
      <c r="A51" t="s">
        <v>621</v>
      </c>
      <c r="B51" s="88">
        <v>45061</v>
      </c>
      <c r="C51" t="s">
        <v>962</v>
      </c>
      <c r="D51" t="s">
        <v>8</v>
      </c>
      <c r="E51" t="s">
        <v>9</v>
      </c>
      <c r="F51" t="s">
        <v>545</v>
      </c>
      <c r="G51" t="s">
        <v>960</v>
      </c>
      <c r="H51" t="s">
        <v>51</v>
      </c>
      <c r="I51" t="s">
        <v>152</v>
      </c>
      <c r="J51">
        <v>1</v>
      </c>
      <c r="K51">
        <v>2023</v>
      </c>
      <c r="L51" t="s">
        <v>1022</v>
      </c>
    </row>
    <row r="52" spans="1:12" x14ac:dyDescent="0.2">
      <c r="A52" t="s">
        <v>624</v>
      </c>
      <c r="B52" s="88">
        <v>45061</v>
      </c>
      <c r="C52" t="s">
        <v>962</v>
      </c>
      <c r="D52" t="s">
        <v>8</v>
      </c>
      <c r="E52" t="s">
        <v>9</v>
      </c>
      <c r="F52" t="s">
        <v>545</v>
      </c>
      <c r="G52" t="s">
        <v>960</v>
      </c>
      <c r="H52" t="s">
        <v>51</v>
      </c>
      <c r="I52" t="s">
        <v>151</v>
      </c>
      <c r="J52">
        <v>2</v>
      </c>
      <c r="K52">
        <v>2023</v>
      </c>
      <c r="L52" t="s">
        <v>1023</v>
      </c>
    </row>
    <row r="53" spans="1:12" x14ac:dyDescent="0.2">
      <c r="A53" t="s">
        <v>625</v>
      </c>
      <c r="B53" s="88">
        <v>45061</v>
      </c>
      <c r="C53" t="s">
        <v>962</v>
      </c>
      <c r="D53" t="s">
        <v>8</v>
      </c>
      <c r="E53" t="s">
        <v>9</v>
      </c>
      <c r="F53" t="s">
        <v>545</v>
      </c>
      <c r="G53" t="s">
        <v>960</v>
      </c>
      <c r="H53" t="s">
        <v>51</v>
      </c>
      <c r="I53" t="s">
        <v>152</v>
      </c>
      <c r="J53">
        <v>2</v>
      </c>
      <c r="K53">
        <v>2023</v>
      </c>
      <c r="L53" t="s">
        <v>1024</v>
      </c>
    </row>
    <row r="54" spans="1:12" x14ac:dyDescent="0.2">
      <c r="A54" t="s">
        <v>626</v>
      </c>
      <c r="B54" s="88">
        <v>45061</v>
      </c>
      <c r="C54" t="s">
        <v>962</v>
      </c>
      <c r="D54" t="s">
        <v>8</v>
      </c>
      <c r="E54" t="s">
        <v>9</v>
      </c>
      <c r="F54" t="s">
        <v>545</v>
      </c>
      <c r="G54" t="s">
        <v>960</v>
      </c>
      <c r="H54" t="s">
        <v>51</v>
      </c>
      <c r="I54" t="s">
        <v>151</v>
      </c>
      <c r="J54">
        <v>3</v>
      </c>
      <c r="K54">
        <v>2023</v>
      </c>
      <c r="L54" t="s">
        <v>1025</v>
      </c>
    </row>
    <row r="55" spans="1:12" x14ac:dyDescent="0.2">
      <c r="A55" t="s">
        <v>627</v>
      </c>
      <c r="B55" s="88">
        <v>45061</v>
      </c>
      <c r="C55" t="s">
        <v>962</v>
      </c>
      <c r="D55" t="s">
        <v>8</v>
      </c>
      <c r="E55" t="s">
        <v>9</v>
      </c>
      <c r="F55" t="s">
        <v>545</v>
      </c>
      <c r="G55" t="s">
        <v>960</v>
      </c>
      <c r="H55" t="s">
        <v>51</v>
      </c>
      <c r="I55" t="s">
        <v>152</v>
      </c>
      <c r="J55">
        <v>3</v>
      </c>
      <c r="K55">
        <v>2023</v>
      </c>
      <c r="L55" t="s">
        <v>1026</v>
      </c>
    </row>
    <row r="56" spans="1:12" x14ac:dyDescent="0.2">
      <c r="A56" t="s">
        <v>628</v>
      </c>
      <c r="B56" s="88">
        <v>45061</v>
      </c>
      <c r="C56" t="s">
        <v>962</v>
      </c>
      <c r="D56" t="s">
        <v>8</v>
      </c>
      <c r="E56" t="s">
        <v>9</v>
      </c>
      <c r="F56" t="s">
        <v>545</v>
      </c>
      <c r="G56" t="s">
        <v>960</v>
      </c>
      <c r="H56" t="s">
        <v>60</v>
      </c>
      <c r="I56" t="s">
        <v>151</v>
      </c>
      <c r="J56">
        <v>1</v>
      </c>
      <c r="K56">
        <v>2023</v>
      </c>
      <c r="L56" t="s">
        <v>1027</v>
      </c>
    </row>
    <row r="57" spans="1:12" x14ac:dyDescent="0.2">
      <c r="A57" t="s">
        <v>629</v>
      </c>
      <c r="B57" s="88">
        <v>45061</v>
      </c>
      <c r="C57" t="s">
        <v>962</v>
      </c>
      <c r="D57" t="s">
        <v>8</v>
      </c>
      <c r="E57" t="s">
        <v>9</v>
      </c>
      <c r="F57" t="s">
        <v>545</v>
      </c>
      <c r="G57" t="s">
        <v>960</v>
      </c>
      <c r="H57" t="s">
        <v>60</v>
      </c>
      <c r="I57" t="s">
        <v>152</v>
      </c>
      <c r="J57">
        <v>1</v>
      </c>
      <c r="K57">
        <v>2023</v>
      </c>
      <c r="L57" t="s">
        <v>1028</v>
      </c>
    </row>
    <row r="58" spans="1:12" x14ac:dyDescent="0.2">
      <c r="A58" t="s">
        <v>678</v>
      </c>
      <c r="B58" s="88">
        <v>45061</v>
      </c>
      <c r="C58" t="s">
        <v>962</v>
      </c>
      <c r="D58" t="s">
        <v>8</v>
      </c>
      <c r="E58" t="s">
        <v>9</v>
      </c>
      <c r="F58" t="s">
        <v>545</v>
      </c>
      <c r="G58" t="s">
        <v>960</v>
      </c>
      <c r="H58" t="s">
        <v>60</v>
      </c>
      <c r="I58" t="s">
        <v>151</v>
      </c>
      <c r="J58">
        <v>2</v>
      </c>
      <c r="K58">
        <v>2023</v>
      </c>
      <c r="L58" t="s">
        <v>1029</v>
      </c>
    </row>
    <row r="59" spans="1:12" x14ac:dyDescent="0.2">
      <c r="A59" t="s">
        <v>679</v>
      </c>
      <c r="B59" s="88">
        <v>45061</v>
      </c>
      <c r="C59" t="s">
        <v>962</v>
      </c>
      <c r="D59" t="s">
        <v>8</v>
      </c>
      <c r="E59" t="s">
        <v>9</v>
      </c>
      <c r="F59" t="s">
        <v>545</v>
      </c>
      <c r="G59" t="s">
        <v>960</v>
      </c>
      <c r="H59" t="s">
        <v>60</v>
      </c>
      <c r="I59" t="s">
        <v>152</v>
      </c>
      <c r="J59">
        <v>2</v>
      </c>
      <c r="K59">
        <v>2023</v>
      </c>
      <c r="L59" t="s">
        <v>1030</v>
      </c>
    </row>
    <row r="60" spans="1:12" x14ac:dyDescent="0.2">
      <c r="A60" t="s">
        <v>680</v>
      </c>
      <c r="B60" s="88">
        <v>45061</v>
      </c>
      <c r="C60" t="s">
        <v>962</v>
      </c>
      <c r="D60" t="s">
        <v>8</v>
      </c>
      <c r="E60" t="s">
        <v>9</v>
      </c>
      <c r="F60" t="s">
        <v>545</v>
      </c>
      <c r="G60" t="s">
        <v>960</v>
      </c>
      <c r="H60" t="s">
        <v>60</v>
      </c>
      <c r="I60" t="s">
        <v>151</v>
      </c>
      <c r="J60">
        <v>3</v>
      </c>
      <c r="K60">
        <v>2023</v>
      </c>
      <c r="L60" t="s">
        <v>1031</v>
      </c>
    </row>
    <row r="61" spans="1:12" x14ac:dyDescent="0.2">
      <c r="A61" t="s">
        <v>681</v>
      </c>
      <c r="B61" s="88">
        <v>45061</v>
      </c>
      <c r="C61" t="s">
        <v>962</v>
      </c>
      <c r="D61" t="s">
        <v>8</v>
      </c>
      <c r="E61" t="s">
        <v>9</v>
      </c>
      <c r="F61" t="s">
        <v>545</v>
      </c>
      <c r="G61" t="s">
        <v>960</v>
      </c>
      <c r="H61" t="s">
        <v>60</v>
      </c>
      <c r="I61" t="s">
        <v>152</v>
      </c>
      <c r="J61">
        <v>3</v>
      </c>
      <c r="K61">
        <v>2023</v>
      </c>
      <c r="L61" t="s">
        <v>1032</v>
      </c>
    </row>
    <row r="62" spans="1:12" x14ac:dyDescent="0.2">
      <c r="A62" t="s">
        <v>632</v>
      </c>
      <c r="B62" s="88">
        <v>45061</v>
      </c>
      <c r="C62" t="s">
        <v>962</v>
      </c>
      <c r="D62" t="s">
        <v>8</v>
      </c>
      <c r="E62" t="s">
        <v>9</v>
      </c>
      <c r="F62" t="s">
        <v>545</v>
      </c>
      <c r="G62" t="s">
        <v>960</v>
      </c>
      <c r="H62" t="s">
        <v>36</v>
      </c>
      <c r="I62" t="s">
        <v>151</v>
      </c>
      <c r="J62">
        <v>1</v>
      </c>
      <c r="K62">
        <v>2023</v>
      </c>
      <c r="L62" t="s">
        <v>1033</v>
      </c>
    </row>
    <row r="63" spans="1:12" x14ac:dyDescent="0.2">
      <c r="A63" t="s">
        <v>633</v>
      </c>
      <c r="B63" s="88">
        <v>45061</v>
      </c>
      <c r="C63" t="s">
        <v>962</v>
      </c>
      <c r="D63" t="s">
        <v>8</v>
      </c>
      <c r="E63" t="s">
        <v>9</v>
      </c>
      <c r="F63" t="s">
        <v>545</v>
      </c>
      <c r="G63" t="s">
        <v>960</v>
      </c>
      <c r="H63" t="s">
        <v>36</v>
      </c>
      <c r="I63" t="s">
        <v>152</v>
      </c>
      <c r="J63">
        <v>1</v>
      </c>
      <c r="K63">
        <v>2023</v>
      </c>
      <c r="L63" t="s">
        <v>1034</v>
      </c>
    </row>
    <row r="64" spans="1:12" x14ac:dyDescent="0.2">
      <c r="A64" t="s">
        <v>682</v>
      </c>
      <c r="B64" s="88">
        <v>45061</v>
      </c>
      <c r="C64" t="s">
        <v>962</v>
      </c>
      <c r="D64" t="s">
        <v>8</v>
      </c>
      <c r="E64" t="s">
        <v>9</v>
      </c>
      <c r="F64" t="s">
        <v>545</v>
      </c>
      <c r="G64" t="s">
        <v>960</v>
      </c>
      <c r="H64" t="s">
        <v>36</v>
      </c>
      <c r="I64" t="s">
        <v>151</v>
      </c>
      <c r="J64">
        <v>2</v>
      </c>
      <c r="K64">
        <v>2023</v>
      </c>
      <c r="L64" t="s">
        <v>1035</v>
      </c>
    </row>
    <row r="65" spans="1:12" x14ac:dyDescent="0.2">
      <c r="A65" t="s">
        <v>683</v>
      </c>
      <c r="B65" s="88">
        <v>45061</v>
      </c>
      <c r="C65" t="s">
        <v>962</v>
      </c>
      <c r="D65" t="s">
        <v>8</v>
      </c>
      <c r="E65" t="s">
        <v>9</v>
      </c>
      <c r="F65" t="s">
        <v>545</v>
      </c>
      <c r="G65" t="s">
        <v>960</v>
      </c>
      <c r="H65" t="s">
        <v>36</v>
      </c>
      <c r="I65" t="s">
        <v>152</v>
      </c>
      <c r="J65">
        <v>2</v>
      </c>
      <c r="K65">
        <v>2023</v>
      </c>
      <c r="L65" t="s">
        <v>1036</v>
      </c>
    </row>
    <row r="66" spans="1:12" x14ac:dyDescent="0.2">
      <c r="A66" t="s">
        <v>684</v>
      </c>
      <c r="B66" s="88">
        <v>45061</v>
      </c>
      <c r="C66" t="s">
        <v>962</v>
      </c>
      <c r="D66" t="s">
        <v>8</v>
      </c>
      <c r="E66" t="s">
        <v>9</v>
      </c>
      <c r="F66" t="s">
        <v>545</v>
      </c>
      <c r="G66" t="s">
        <v>960</v>
      </c>
      <c r="H66" t="s">
        <v>36</v>
      </c>
      <c r="I66" t="s">
        <v>151</v>
      </c>
      <c r="J66">
        <v>3</v>
      </c>
      <c r="K66">
        <v>2023</v>
      </c>
      <c r="L66" t="s">
        <v>1037</v>
      </c>
    </row>
    <row r="67" spans="1:12" x14ac:dyDescent="0.2">
      <c r="A67" t="s">
        <v>685</v>
      </c>
      <c r="B67" s="88">
        <v>45061</v>
      </c>
      <c r="C67" t="s">
        <v>962</v>
      </c>
      <c r="D67" t="s">
        <v>8</v>
      </c>
      <c r="E67" t="s">
        <v>9</v>
      </c>
      <c r="F67" t="s">
        <v>545</v>
      </c>
      <c r="G67" t="s">
        <v>960</v>
      </c>
      <c r="H67" t="s">
        <v>36</v>
      </c>
      <c r="I67" t="s">
        <v>152</v>
      </c>
      <c r="J67">
        <v>3</v>
      </c>
      <c r="K67">
        <v>2023</v>
      </c>
      <c r="L67" t="s">
        <v>1038</v>
      </c>
    </row>
    <row r="68" spans="1:12" x14ac:dyDescent="0.2">
      <c r="A68" t="s">
        <v>636</v>
      </c>
      <c r="B68" s="88">
        <v>45061</v>
      </c>
      <c r="C68" t="s">
        <v>962</v>
      </c>
      <c r="D68" t="s">
        <v>8</v>
      </c>
      <c r="E68" t="s">
        <v>9</v>
      </c>
      <c r="F68" t="s">
        <v>545</v>
      </c>
      <c r="G68" t="s">
        <v>960</v>
      </c>
      <c r="H68" t="s">
        <v>45</v>
      </c>
      <c r="I68" t="s">
        <v>151</v>
      </c>
      <c r="J68">
        <v>1</v>
      </c>
      <c r="K68">
        <v>2023</v>
      </c>
      <c r="L68" t="s">
        <v>1039</v>
      </c>
    </row>
    <row r="69" spans="1:12" x14ac:dyDescent="0.2">
      <c r="A69" t="s">
        <v>637</v>
      </c>
      <c r="B69" s="88">
        <v>45061</v>
      </c>
      <c r="C69" t="s">
        <v>962</v>
      </c>
      <c r="D69" t="s">
        <v>8</v>
      </c>
      <c r="E69" t="s">
        <v>9</v>
      </c>
      <c r="F69" t="s">
        <v>545</v>
      </c>
      <c r="G69" t="s">
        <v>960</v>
      </c>
      <c r="H69" t="s">
        <v>45</v>
      </c>
      <c r="I69" t="s">
        <v>152</v>
      </c>
      <c r="J69">
        <v>1</v>
      </c>
      <c r="K69">
        <v>2023</v>
      </c>
      <c r="L69" t="s">
        <v>1040</v>
      </c>
    </row>
    <row r="70" spans="1:12" x14ac:dyDescent="0.2">
      <c r="A70" t="s">
        <v>686</v>
      </c>
      <c r="B70" s="88">
        <v>45061</v>
      </c>
      <c r="C70" t="s">
        <v>962</v>
      </c>
      <c r="D70" t="s">
        <v>8</v>
      </c>
      <c r="E70" t="s">
        <v>9</v>
      </c>
      <c r="F70" t="s">
        <v>545</v>
      </c>
      <c r="G70" t="s">
        <v>960</v>
      </c>
      <c r="H70" t="s">
        <v>45</v>
      </c>
      <c r="I70" t="s">
        <v>151</v>
      </c>
      <c r="J70">
        <v>2</v>
      </c>
      <c r="K70">
        <v>2023</v>
      </c>
      <c r="L70" t="s">
        <v>1041</v>
      </c>
    </row>
    <row r="71" spans="1:12" x14ac:dyDescent="0.2">
      <c r="A71" t="s">
        <v>687</v>
      </c>
      <c r="B71" s="88">
        <v>45061</v>
      </c>
      <c r="C71" t="s">
        <v>962</v>
      </c>
      <c r="D71" t="s">
        <v>8</v>
      </c>
      <c r="E71" t="s">
        <v>9</v>
      </c>
      <c r="F71" t="s">
        <v>545</v>
      </c>
      <c r="G71" t="s">
        <v>960</v>
      </c>
      <c r="H71" t="s">
        <v>45</v>
      </c>
      <c r="I71" t="s">
        <v>152</v>
      </c>
      <c r="J71">
        <v>2</v>
      </c>
      <c r="K71">
        <v>2023</v>
      </c>
      <c r="L71" t="s">
        <v>1042</v>
      </c>
    </row>
    <row r="72" spans="1:12" x14ac:dyDescent="0.2">
      <c r="A72" t="s">
        <v>688</v>
      </c>
      <c r="B72" s="88">
        <v>45061</v>
      </c>
      <c r="C72" t="s">
        <v>962</v>
      </c>
      <c r="D72" t="s">
        <v>8</v>
      </c>
      <c r="E72" t="s">
        <v>9</v>
      </c>
      <c r="F72" t="s">
        <v>545</v>
      </c>
      <c r="G72" t="s">
        <v>960</v>
      </c>
      <c r="H72" t="s">
        <v>45</v>
      </c>
      <c r="I72" t="s">
        <v>151</v>
      </c>
      <c r="J72">
        <v>3</v>
      </c>
      <c r="K72">
        <v>2023</v>
      </c>
      <c r="L72" t="s">
        <v>1043</v>
      </c>
    </row>
    <row r="73" spans="1:12" x14ac:dyDescent="0.2">
      <c r="A73" t="s">
        <v>689</v>
      </c>
      <c r="B73" s="88">
        <v>45061</v>
      </c>
      <c r="C73" t="s">
        <v>962</v>
      </c>
      <c r="D73" t="s">
        <v>8</v>
      </c>
      <c r="E73" t="s">
        <v>9</v>
      </c>
      <c r="F73" t="s">
        <v>545</v>
      </c>
      <c r="G73" t="s">
        <v>960</v>
      </c>
      <c r="H73" t="s">
        <v>45</v>
      </c>
      <c r="I73" t="s">
        <v>152</v>
      </c>
      <c r="J73">
        <v>3</v>
      </c>
      <c r="K73">
        <v>2023</v>
      </c>
      <c r="L73" t="s">
        <v>1044</v>
      </c>
    </row>
    <row r="74" spans="1:12" x14ac:dyDescent="0.2">
      <c r="A74" t="s">
        <v>692</v>
      </c>
      <c r="B74" s="88">
        <v>45061</v>
      </c>
      <c r="C74" t="s">
        <v>962</v>
      </c>
      <c r="D74" t="s">
        <v>8</v>
      </c>
      <c r="E74" t="s">
        <v>9</v>
      </c>
      <c r="F74" t="s">
        <v>545</v>
      </c>
      <c r="G74" t="s">
        <v>960</v>
      </c>
      <c r="H74" t="s">
        <v>62</v>
      </c>
      <c r="I74" t="s">
        <v>151</v>
      </c>
      <c r="J74">
        <v>1</v>
      </c>
      <c r="K74">
        <v>2023</v>
      </c>
      <c r="L74" t="s">
        <v>1045</v>
      </c>
    </row>
    <row r="75" spans="1:12" x14ac:dyDescent="0.2">
      <c r="A75" t="s">
        <v>693</v>
      </c>
      <c r="B75" s="88">
        <v>45061</v>
      </c>
      <c r="C75" t="s">
        <v>962</v>
      </c>
      <c r="D75" t="s">
        <v>8</v>
      </c>
      <c r="E75" t="s">
        <v>9</v>
      </c>
      <c r="F75" t="s">
        <v>545</v>
      </c>
      <c r="G75" t="s">
        <v>960</v>
      </c>
      <c r="H75" t="s">
        <v>62</v>
      </c>
      <c r="I75" t="s">
        <v>152</v>
      </c>
      <c r="J75">
        <v>1</v>
      </c>
      <c r="K75">
        <v>2023</v>
      </c>
      <c r="L75" t="s">
        <v>1046</v>
      </c>
    </row>
    <row r="76" spans="1:12" x14ac:dyDescent="0.2">
      <c r="A76" t="s">
        <v>700</v>
      </c>
      <c r="B76" s="88">
        <v>45061</v>
      </c>
      <c r="C76" t="s">
        <v>962</v>
      </c>
      <c r="D76" t="s">
        <v>8</v>
      </c>
      <c r="E76" t="s">
        <v>9</v>
      </c>
      <c r="F76" t="s">
        <v>545</v>
      </c>
      <c r="G76" t="s">
        <v>960</v>
      </c>
      <c r="H76" t="s">
        <v>62</v>
      </c>
      <c r="I76" t="s">
        <v>151</v>
      </c>
      <c r="J76">
        <v>2</v>
      </c>
      <c r="K76">
        <v>2023</v>
      </c>
      <c r="L76" t="s">
        <v>1047</v>
      </c>
    </row>
    <row r="77" spans="1:12" x14ac:dyDescent="0.2">
      <c r="A77" t="s">
        <v>701</v>
      </c>
      <c r="B77" s="88">
        <v>45061</v>
      </c>
      <c r="C77" t="s">
        <v>962</v>
      </c>
      <c r="D77" t="s">
        <v>8</v>
      </c>
      <c r="E77" t="s">
        <v>9</v>
      </c>
      <c r="F77" t="s">
        <v>545</v>
      </c>
      <c r="G77" t="s">
        <v>960</v>
      </c>
      <c r="H77" t="s">
        <v>62</v>
      </c>
      <c r="I77" t="s">
        <v>152</v>
      </c>
      <c r="J77">
        <v>2</v>
      </c>
      <c r="K77">
        <v>2023</v>
      </c>
      <c r="L77" t="s">
        <v>1048</v>
      </c>
    </row>
    <row r="78" spans="1:12" x14ac:dyDescent="0.2">
      <c r="A78" t="s">
        <v>702</v>
      </c>
      <c r="B78" s="88">
        <v>45061</v>
      </c>
      <c r="C78" t="s">
        <v>962</v>
      </c>
      <c r="D78" t="s">
        <v>8</v>
      </c>
      <c r="E78" t="s">
        <v>9</v>
      </c>
      <c r="F78" t="s">
        <v>545</v>
      </c>
      <c r="G78" t="s">
        <v>960</v>
      </c>
      <c r="H78" t="s">
        <v>62</v>
      </c>
      <c r="I78" t="s">
        <v>151</v>
      </c>
      <c r="J78">
        <v>3</v>
      </c>
      <c r="K78">
        <v>2023</v>
      </c>
      <c r="L78" t="s">
        <v>1049</v>
      </c>
    </row>
    <row r="79" spans="1:12" x14ac:dyDescent="0.2">
      <c r="A79" t="s">
        <v>703</v>
      </c>
      <c r="B79" s="88">
        <v>45061</v>
      </c>
      <c r="C79" t="s">
        <v>962</v>
      </c>
      <c r="D79" t="s">
        <v>8</v>
      </c>
      <c r="E79" t="s">
        <v>9</v>
      </c>
      <c r="F79" t="s">
        <v>545</v>
      </c>
      <c r="G79" t="s">
        <v>960</v>
      </c>
      <c r="H79" t="s">
        <v>62</v>
      </c>
      <c r="I79" t="s">
        <v>152</v>
      </c>
      <c r="J79">
        <v>3</v>
      </c>
      <c r="K79">
        <v>2023</v>
      </c>
      <c r="L79" t="s">
        <v>1050</v>
      </c>
    </row>
    <row r="80" spans="1:12" x14ac:dyDescent="0.2">
      <c r="A80" t="s">
        <v>704</v>
      </c>
      <c r="B80" s="88">
        <v>45061</v>
      </c>
      <c r="C80" t="s">
        <v>962</v>
      </c>
      <c r="D80" t="s">
        <v>90</v>
      </c>
      <c r="E80" t="s">
        <v>96</v>
      </c>
      <c r="F80" t="s">
        <v>546</v>
      </c>
      <c r="G80" t="s">
        <v>961</v>
      </c>
      <c r="H80" t="s">
        <v>51</v>
      </c>
      <c r="I80" t="s">
        <v>152</v>
      </c>
      <c r="J80">
        <v>1</v>
      </c>
      <c r="K80">
        <v>2023</v>
      </c>
      <c r="L80" t="s">
        <v>1051</v>
      </c>
    </row>
    <row r="81" spans="1:12" x14ac:dyDescent="0.2">
      <c r="A81" t="s">
        <v>707</v>
      </c>
      <c r="B81" s="88">
        <v>45061</v>
      </c>
      <c r="C81" t="s">
        <v>962</v>
      </c>
      <c r="D81" t="s">
        <v>90</v>
      </c>
      <c r="E81" t="s">
        <v>96</v>
      </c>
      <c r="F81" t="s">
        <v>546</v>
      </c>
      <c r="G81" t="s">
        <v>961</v>
      </c>
      <c r="H81" t="s">
        <v>51</v>
      </c>
      <c r="I81" t="s">
        <v>152</v>
      </c>
      <c r="J81">
        <v>2</v>
      </c>
      <c r="K81">
        <v>2023</v>
      </c>
      <c r="L81" t="s">
        <v>1052</v>
      </c>
    </row>
    <row r="82" spans="1:12" x14ac:dyDescent="0.2">
      <c r="A82" t="s">
        <v>708</v>
      </c>
      <c r="B82" s="88">
        <v>45061</v>
      </c>
      <c r="C82" t="s">
        <v>962</v>
      </c>
      <c r="D82" t="s">
        <v>90</v>
      </c>
      <c r="E82" t="s">
        <v>96</v>
      </c>
      <c r="F82" t="s">
        <v>546</v>
      </c>
      <c r="G82" t="s">
        <v>961</v>
      </c>
      <c r="H82" t="s">
        <v>51</v>
      </c>
      <c r="I82" t="s">
        <v>152</v>
      </c>
      <c r="J82">
        <v>3</v>
      </c>
      <c r="K82">
        <v>2023</v>
      </c>
      <c r="L82" t="s">
        <v>1053</v>
      </c>
    </row>
    <row r="83" spans="1:12" x14ac:dyDescent="0.2">
      <c r="A83" t="s">
        <v>640</v>
      </c>
      <c r="B83" s="88">
        <v>45061</v>
      </c>
      <c r="C83" t="s">
        <v>962</v>
      </c>
      <c r="D83" t="s">
        <v>90</v>
      </c>
      <c r="E83" t="s">
        <v>96</v>
      </c>
      <c r="F83" t="s">
        <v>546</v>
      </c>
      <c r="G83" t="s">
        <v>961</v>
      </c>
      <c r="H83" t="s">
        <v>60</v>
      </c>
      <c r="I83" t="s">
        <v>151</v>
      </c>
      <c r="J83">
        <v>1</v>
      </c>
      <c r="K83">
        <v>2023</v>
      </c>
      <c r="L83" t="s">
        <v>1054</v>
      </c>
    </row>
    <row r="84" spans="1:12" x14ac:dyDescent="0.2">
      <c r="A84" t="s">
        <v>641</v>
      </c>
      <c r="B84" s="88">
        <v>45061</v>
      </c>
      <c r="C84" t="s">
        <v>962</v>
      </c>
      <c r="D84" t="s">
        <v>90</v>
      </c>
      <c r="E84" t="s">
        <v>96</v>
      </c>
      <c r="F84" t="s">
        <v>546</v>
      </c>
      <c r="G84" t="s">
        <v>961</v>
      </c>
      <c r="H84" t="s">
        <v>60</v>
      </c>
      <c r="I84" t="s">
        <v>152</v>
      </c>
      <c r="J84">
        <v>1</v>
      </c>
      <c r="K84">
        <v>2023</v>
      </c>
      <c r="L84" t="s">
        <v>1055</v>
      </c>
    </row>
    <row r="85" spans="1:12" x14ac:dyDescent="0.2">
      <c r="A85" t="s">
        <v>709</v>
      </c>
      <c r="B85" s="88">
        <v>45061</v>
      </c>
      <c r="C85" t="s">
        <v>962</v>
      </c>
      <c r="D85" t="s">
        <v>90</v>
      </c>
      <c r="E85" t="s">
        <v>96</v>
      </c>
      <c r="F85" t="s">
        <v>546</v>
      </c>
      <c r="G85" t="s">
        <v>961</v>
      </c>
      <c r="H85" t="s">
        <v>60</v>
      </c>
      <c r="I85" t="s">
        <v>151</v>
      </c>
      <c r="J85">
        <v>2</v>
      </c>
      <c r="K85">
        <v>2023</v>
      </c>
      <c r="L85" t="s">
        <v>1056</v>
      </c>
    </row>
    <row r="86" spans="1:12" x14ac:dyDescent="0.2">
      <c r="A86" t="s">
        <v>710</v>
      </c>
      <c r="B86" s="88">
        <v>45061</v>
      </c>
      <c r="C86" t="s">
        <v>962</v>
      </c>
      <c r="D86" t="s">
        <v>90</v>
      </c>
      <c r="E86" t="s">
        <v>96</v>
      </c>
      <c r="F86" t="s">
        <v>546</v>
      </c>
      <c r="G86" t="s">
        <v>961</v>
      </c>
      <c r="H86" t="s">
        <v>60</v>
      </c>
      <c r="I86" t="s">
        <v>152</v>
      </c>
      <c r="J86">
        <v>2</v>
      </c>
      <c r="K86">
        <v>2023</v>
      </c>
      <c r="L86" t="s">
        <v>1057</v>
      </c>
    </row>
    <row r="87" spans="1:12" x14ac:dyDescent="0.2">
      <c r="A87" t="s">
        <v>711</v>
      </c>
      <c r="B87" s="88">
        <v>45061</v>
      </c>
      <c r="C87" t="s">
        <v>962</v>
      </c>
      <c r="D87" t="s">
        <v>90</v>
      </c>
      <c r="E87" t="s">
        <v>96</v>
      </c>
      <c r="F87" t="s">
        <v>546</v>
      </c>
      <c r="G87" t="s">
        <v>961</v>
      </c>
      <c r="H87" t="s">
        <v>60</v>
      </c>
      <c r="I87" t="s">
        <v>151</v>
      </c>
      <c r="J87">
        <v>3</v>
      </c>
      <c r="K87">
        <v>2023</v>
      </c>
      <c r="L87" t="s">
        <v>1058</v>
      </c>
    </row>
    <row r="88" spans="1:12" x14ac:dyDescent="0.2">
      <c r="A88" t="s">
        <v>712</v>
      </c>
      <c r="B88" s="88">
        <v>45061</v>
      </c>
      <c r="C88" t="s">
        <v>962</v>
      </c>
      <c r="D88" t="s">
        <v>90</v>
      </c>
      <c r="E88" t="s">
        <v>96</v>
      </c>
      <c r="F88" t="s">
        <v>546</v>
      </c>
      <c r="G88" t="s">
        <v>961</v>
      </c>
      <c r="H88" t="s">
        <v>60</v>
      </c>
      <c r="I88" t="s">
        <v>152</v>
      </c>
      <c r="J88">
        <v>3</v>
      </c>
      <c r="K88">
        <v>2023</v>
      </c>
      <c r="L88" t="s">
        <v>1059</v>
      </c>
    </row>
    <row r="89" spans="1:12" x14ac:dyDescent="0.2">
      <c r="A89" t="s">
        <v>644</v>
      </c>
      <c r="B89" s="88">
        <v>45061</v>
      </c>
      <c r="C89" t="s">
        <v>962</v>
      </c>
      <c r="D89" t="s">
        <v>90</v>
      </c>
      <c r="E89" t="s">
        <v>96</v>
      </c>
      <c r="F89" t="s">
        <v>546</v>
      </c>
      <c r="G89" t="s">
        <v>961</v>
      </c>
      <c r="H89" t="s">
        <v>45</v>
      </c>
      <c r="I89" t="s">
        <v>151</v>
      </c>
      <c r="J89">
        <v>1</v>
      </c>
      <c r="K89">
        <v>2023</v>
      </c>
      <c r="L89" t="s">
        <v>1060</v>
      </c>
    </row>
    <row r="90" spans="1:12" x14ac:dyDescent="0.2">
      <c r="A90" t="s">
        <v>645</v>
      </c>
      <c r="B90" s="88">
        <v>45061</v>
      </c>
      <c r="C90" t="s">
        <v>962</v>
      </c>
      <c r="D90" t="s">
        <v>90</v>
      </c>
      <c r="E90" t="s">
        <v>96</v>
      </c>
      <c r="F90" t="s">
        <v>546</v>
      </c>
      <c r="G90" t="s">
        <v>961</v>
      </c>
      <c r="H90" t="s">
        <v>45</v>
      </c>
      <c r="I90" t="s">
        <v>152</v>
      </c>
      <c r="J90">
        <v>1</v>
      </c>
      <c r="K90">
        <v>2023</v>
      </c>
      <c r="L90" t="s">
        <v>1061</v>
      </c>
    </row>
    <row r="91" spans="1:12" x14ac:dyDescent="0.2">
      <c r="A91" t="s">
        <v>713</v>
      </c>
      <c r="B91" s="88">
        <v>45061</v>
      </c>
      <c r="C91" t="s">
        <v>962</v>
      </c>
      <c r="D91" t="s">
        <v>90</v>
      </c>
      <c r="E91" t="s">
        <v>96</v>
      </c>
      <c r="F91" t="s">
        <v>546</v>
      </c>
      <c r="G91" t="s">
        <v>961</v>
      </c>
      <c r="H91" t="s">
        <v>45</v>
      </c>
      <c r="I91" t="s">
        <v>151</v>
      </c>
      <c r="J91">
        <v>2</v>
      </c>
      <c r="K91">
        <v>2023</v>
      </c>
      <c r="L91" t="s">
        <v>1062</v>
      </c>
    </row>
    <row r="92" spans="1:12" x14ac:dyDescent="0.2">
      <c r="A92" t="s">
        <v>714</v>
      </c>
      <c r="B92" s="88">
        <v>45061</v>
      </c>
      <c r="C92" t="s">
        <v>962</v>
      </c>
      <c r="D92" t="s">
        <v>90</v>
      </c>
      <c r="E92" t="s">
        <v>96</v>
      </c>
      <c r="F92" t="s">
        <v>546</v>
      </c>
      <c r="G92" t="s">
        <v>961</v>
      </c>
      <c r="H92" t="s">
        <v>45</v>
      </c>
      <c r="I92" t="s">
        <v>152</v>
      </c>
      <c r="J92">
        <v>2</v>
      </c>
      <c r="K92">
        <v>2023</v>
      </c>
      <c r="L92" t="s">
        <v>1063</v>
      </c>
    </row>
    <row r="93" spans="1:12" x14ac:dyDescent="0.2">
      <c r="A93" t="s">
        <v>715</v>
      </c>
      <c r="B93" s="88">
        <v>45061</v>
      </c>
      <c r="C93" t="s">
        <v>962</v>
      </c>
      <c r="D93" t="s">
        <v>90</v>
      </c>
      <c r="E93" t="s">
        <v>96</v>
      </c>
      <c r="F93" t="s">
        <v>546</v>
      </c>
      <c r="G93" t="s">
        <v>961</v>
      </c>
      <c r="H93" t="s">
        <v>45</v>
      </c>
      <c r="I93" t="s">
        <v>151</v>
      </c>
      <c r="J93">
        <v>3</v>
      </c>
      <c r="K93">
        <v>2023</v>
      </c>
      <c r="L93" t="s">
        <v>1064</v>
      </c>
    </row>
    <row r="94" spans="1:12" x14ac:dyDescent="0.2">
      <c r="A94" t="s">
        <v>716</v>
      </c>
      <c r="B94" s="88">
        <v>45061</v>
      </c>
      <c r="C94" t="s">
        <v>962</v>
      </c>
      <c r="D94" t="s">
        <v>90</v>
      </c>
      <c r="E94" t="s">
        <v>96</v>
      </c>
      <c r="F94" t="s">
        <v>546</v>
      </c>
      <c r="G94" t="s">
        <v>961</v>
      </c>
      <c r="H94" t="s">
        <v>45</v>
      </c>
      <c r="I94" t="s">
        <v>152</v>
      </c>
      <c r="J94">
        <v>3</v>
      </c>
      <c r="K94">
        <v>2023</v>
      </c>
      <c r="L94" t="s">
        <v>1065</v>
      </c>
    </row>
    <row r="95" spans="1:12" x14ac:dyDescent="0.2">
      <c r="A95" t="s">
        <v>696</v>
      </c>
      <c r="B95" s="88">
        <v>45061</v>
      </c>
      <c r="C95" t="s">
        <v>962</v>
      </c>
      <c r="D95" t="s">
        <v>90</v>
      </c>
      <c r="E95" t="s">
        <v>96</v>
      </c>
      <c r="F95" t="s">
        <v>546</v>
      </c>
      <c r="G95" t="s">
        <v>961</v>
      </c>
      <c r="H95" t="s">
        <v>62</v>
      </c>
      <c r="I95" t="s">
        <v>151</v>
      </c>
      <c r="J95">
        <v>1</v>
      </c>
      <c r="K95">
        <v>2023</v>
      </c>
      <c r="L95" t="s">
        <v>1066</v>
      </c>
    </row>
    <row r="96" spans="1:12" x14ac:dyDescent="0.2">
      <c r="A96" t="s">
        <v>697</v>
      </c>
      <c r="B96" s="88">
        <v>45061</v>
      </c>
      <c r="C96" t="s">
        <v>962</v>
      </c>
      <c r="D96" t="s">
        <v>90</v>
      </c>
      <c r="E96" t="s">
        <v>96</v>
      </c>
      <c r="F96" t="s">
        <v>546</v>
      </c>
      <c r="G96" t="s">
        <v>961</v>
      </c>
      <c r="H96" t="s">
        <v>62</v>
      </c>
      <c r="I96" t="s">
        <v>152</v>
      </c>
      <c r="J96">
        <v>1</v>
      </c>
      <c r="K96">
        <v>2023</v>
      </c>
      <c r="L96" t="s">
        <v>1067</v>
      </c>
    </row>
    <row r="97" spans="1:12" x14ac:dyDescent="0.2">
      <c r="A97" t="s">
        <v>717</v>
      </c>
      <c r="B97" s="88">
        <v>45061</v>
      </c>
      <c r="C97" t="s">
        <v>962</v>
      </c>
      <c r="D97" t="s">
        <v>90</v>
      </c>
      <c r="E97" t="s">
        <v>96</v>
      </c>
      <c r="F97" t="s">
        <v>546</v>
      </c>
      <c r="G97" t="s">
        <v>961</v>
      </c>
      <c r="H97" t="s">
        <v>62</v>
      </c>
      <c r="I97" t="s">
        <v>151</v>
      </c>
      <c r="J97">
        <v>2</v>
      </c>
      <c r="K97">
        <v>2023</v>
      </c>
      <c r="L97" t="s">
        <v>1068</v>
      </c>
    </row>
    <row r="98" spans="1:12" x14ac:dyDescent="0.2">
      <c r="A98" t="s">
        <v>718</v>
      </c>
      <c r="B98" s="88">
        <v>45061</v>
      </c>
      <c r="C98" t="s">
        <v>962</v>
      </c>
      <c r="D98" t="s">
        <v>90</v>
      </c>
      <c r="E98" t="s">
        <v>96</v>
      </c>
      <c r="F98" t="s">
        <v>546</v>
      </c>
      <c r="G98" t="s">
        <v>961</v>
      </c>
      <c r="H98" t="s">
        <v>62</v>
      </c>
      <c r="I98" t="s">
        <v>152</v>
      </c>
      <c r="J98">
        <v>2</v>
      </c>
      <c r="K98">
        <v>2023</v>
      </c>
      <c r="L98" t="s">
        <v>1069</v>
      </c>
    </row>
    <row r="99" spans="1:12" x14ac:dyDescent="0.2">
      <c r="A99" t="s">
        <v>719</v>
      </c>
      <c r="B99" s="88">
        <v>45061</v>
      </c>
      <c r="C99" t="s">
        <v>962</v>
      </c>
      <c r="D99" t="s">
        <v>90</v>
      </c>
      <c r="E99" t="s">
        <v>96</v>
      </c>
      <c r="F99" t="s">
        <v>546</v>
      </c>
      <c r="G99" t="s">
        <v>961</v>
      </c>
      <c r="H99" t="s">
        <v>62</v>
      </c>
      <c r="I99" t="s">
        <v>151</v>
      </c>
      <c r="J99">
        <v>3</v>
      </c>
      <c r="K99">
        <v>2023</v>
      </c>
      <c r="L99" t="s">
        <v>1070</v>
      </c>
    </row>
    <row r="100" spans="1:12" x14ac:dyDescent="0.2">
      <c r="A100" t="s">
        <v>720</v>
      </c>
      <c r="B100" s="88">
        <v>45061</v>
      </c>
      <c r="C100" t="s">
        <v>962</v>
      </c>
      <c r="D100" t="s">
        <v>90</v>
      </c>
      <c r="E100" t="s">
        <v>96</v>
      </c>
      <c r="F100" t="s">
        <v>546</v>
      </c>
      <c r="G100" t="s">
        <v>961</v>
      </c>
      <c r="H100" t="s">
        <v>62</v>
      </c>
      <c r="I100" t="s">
        <v>152</v>
      </c>
      <c r="J100">
        <v>3</v>
      </c>
      <c r="K100">
        <v>2023</v>
      </c>
      <c r="L100" t="s">
        <v>1071</v>
      </c>
    </row>
    <row r="101" spans="1:12" x14ac:dyDescent="0.2">
      <c r="A101" t="s">
        <v>721</v>
      </c>
      <c r="B101" s="88">
        <v>45069</v>
      </c>
      <c r="C101" t="s">
        <v>962</v>
      </c>
      <c r="D101" t="s">
        <v>549</v>
      </c>
      <c r="E101" t="s">
        <v>22</v>
      </c>
      <c r="F101" t="s">
        <v>547</v>
      </c>
      <c r="G101" t="s">
        <v>961</v>
      </c>
      <c r="H101" t="s">
        <v>43</v>
      </c>
      <c r="I101" t="s">
        <v>151</v>
      </c>
      <c r="J101">
        <v>1</v>
      </c>
      <c r="K101">
        <v>2023</v>
      </c>
      <c r="L101" t="s">
        <v>1072</v>
      </c>
    </row>
    <row r="102" spans="1:12" x14ac:dyDescent="0.2">
      <c r="A102" t="s">
        <v>722</v>
      </c>
      <c r="B102" s="88">
        <v>45069</v>
      </c>
      <c r="C102" t="s">
        <v>962</v>
      </c>
      <c r="D102" t="s">
        <v>549</v>
      </c>
      <c r="E102" t="s">
        <v>22</v>
      </c>
      <c r="F102" t="s">
        <v>547</v>
      </c>
      <c r="G102" t="s">
        <v>961</v>
      </c>
      <c r="H102" t="s">
        <v>43</v>
      </c>
      <c r="I102" t="s">
        <v>152</v>
      </c>
      <c r="J102">
        <v>1</v>
      </c>
      <c r="K102">
        <v>2023</v>
      </c>
      <c r="L102" t="s">
        <v>1073</v>
      </c>
    </row>
    <row r="103" spans="1:12" x14ac:dyDescent="0.2">
      <c r="A103" t="s">
        <v>725</v>
      </c>
      <c r="B103" s="88">
        <v>45069</v>
      </c>
      <c r="C103" t="s">
        <v>962</v>
      </c>
      <c r="D103" t="s">
        <v>549</v>
      </c>
      <c r="E103" t="s">
        <v>22</v>
      </c>
      <c r="F103" t="s">
        <v>547</v>
      </c>
      <c r="G103" t="s">
        <v>961</v>
      </c>
      <c r="H103" t="s">
        <v>43</v>
      </c>
      <c r="I103" t="s">
        <v>151</v>
      </c>
      <c r="J103">
        <v>2</v>
      </c>
      <c r="K103">
        <v>2023</v>
      </c>
      <c r="L103" t="s">
        <v>1074</v>
      </c>
    </row>
    <row r="104" spans="1:12" x14ac:dyDescent="0.2">
      <c r="A104" t="s">
        <v>726</v>
      </c>
      <c r="B104" s="88">
        <v>45069</v>
      </c>
      <c r="C104" t="s">
        <v>962</v>
      </c>
      <c r="D104" t="s">
        <v>549</v>
      </c>
      <c r="E104" t="s">
        <v>22</v>
      </c>
      <c r="F104" t="s">
        <v>547</v>
      </c>
      <c r="G104" t="s">
        <v>961</v>
      </c>
      <c r="H104" t="s">
        <v>43</v>
      </c>
      <c r="I104" t="s">
        <v>152</v>
      </c>
      <c r="J104">
        <v>2</v>
      </c>
      <c r="K104">
        <v>2023</v>
      </c>
      <c r="L104" t="s">
        <v>1075</v>
      </c>
    </row>
    <row r="105" spans="1:12" x14ac:dyDescent="0.2">
      <c r="A105" t="s">
        <v>727</v>
      </c>
      <c r="B105" s="88">
        <v>45069</v>
      </c>
      <c r="C105" t="s">
        <v>962</v>
      </c>
      <c r="D105" t="s">
        <v>549</v>
      </c>
      <c r="E105" t="s">
        <v>22</v>
      </c>
      <c r="F105" t="s">
        <v>547</v>
      </c>
      <c r="G105" t="s">
        <v>961</v>
      </c>
      <c r="H105" t="s">
        <v>43</v>
      </c>
      <c r="I105" t="s">
        <v>151</v>
      </c>
      <c r="J105">
        <v>3</v>
      </c>
      <c r="K105">
        <v>2023</v>
      </c>
      <c r="L105" t="s">
        <v>1076</v>
      </c>
    </row>
    <row r="106" spans="1:12" x14ac:dyDescent="0.2">
      <c r="A106" t="s">
        <v>728</v>
      </c>
      <c r="B106" s="88">
        <v>45069</v>
      </c>
      <c r="C106" t="s">
        <v>962</v>
      </c>
      <c r="D106" t="s">
        <v>549</v>
      </c>
      <c r="E106" t="s">
        <v>22</v>
      </c>
      <c r="F106" t="s">
        <v>547</v>
      </c>
      <c r="G106" t="s">
        <v>961</v>
      </c>
      <c r="H106" t="s">
        <v>43</v>
      </c>
      <c r="I106" t="s">
        <v>152</v>
      </c>
      <c r="J106">
        <v>3</v>
      </c>
      <c r="K106">
        <v>2023</v>
      </c>
      <c r="L106" t="s">
        <v>1077</v>
      </c>
    </row>
    <row r="107" spans="1:12" x14ac:dyDescent="0.2">
      <c r="A107" t="s">
        <v>729</v>
      </c>
      <c r="B107" s="88">
        <v>45069</v>
      </c>
      <c r="C107" t="s">
        <v>962</v>
      </c>
      <c r="D107" t="s">
        <v>549</v>
      </c>
      <c r="E107" t="s">
        <v>22</v>
      </c>
      <c r="F107" t="s">
        <v>547</v>
      </c>
      <c r="G107" t="s">
        <v>961</v>
      </c>
      <c r="H107" t="s">
        <v>74</v>
      </c>
      <c r="I107" t="s">
        <v>151</v>
      </c>
      <c r="J107">
        <v>1</v>
      </c>
      <c r="K107">
        <v>2023</v>
      </c>
      <c r="L107" t="s">
        <v>1078</v>
      </c>
    </row>
    <row r="108" spans="1:12" x14ac:dyDescent="0.2">
      <c r="A108" t="s">
        <v>730</v>
      </c>
      <c r="B108" s="88">
        <v>45069</v>
      </c>
      <c r="C108" t="s">
        <v>962</v>
      </c>
      <c r="D108" t="s">
        <v>549</v>
      </c>
      <c r="E108" t="s">
        <v>22</v>
      </c>
      <c r="F108" t="s">
        <v>547</v>
      </c>
      <c r="G108" t="s">
        <v>961</v>
      </c>
      <c r="H108" t="s">
        <v>74</v>
      </c>
      <c r="I108" t="s">
        <v>152</v>
      </c>
      <c r="J108">
        <v>1</v>
      </c>
      <c r="K108">
        <v>2023</v>
      </c>
      <c r="L108" t="s">
        <v>1079</v>
      </c>
    </row>
    <row r="109" spans="1:12" x14ac:dyDescent="0.2">
      <c r="A109" t="s">
        <v>733</v>
      </c>
      <c r="B109" s="88">
        <v>45069</v>
      </c>
      <c r="C109" t="s">
        <v>962</v>
      </c>
      <c r="D109" t="s">
        <v>549</v>
      </c>
      <c r="E109" t="s">
        <v>22</v>
      </c>
      <c r="F109" t="s">
        <v>547</v>
      </c>
      <c r="G109" t="s">
        <v>961</v>
      </c>
      <c r="H109" t="s">
        <v>74</v>
      </c>
      <c r="I109" t="s">
        <v>151</v>
      </c>
      <c r="J109">
        <v>2</v>
      </c>
      <c r="K109">
        <v>2023</v>
      </c>
      <c r="L109" t="s">
        <v>1080</v>
      </c>
    </row>
    <row r="110" spans="1:12" x14ac:dyDescent="0.2">
      <c r="A110" t="s">
        <v>734</v>
      </c>
      <c r="B110" s="88">
        <v>45069</v>
      </c>
      <c r="C110" t="s">
        <v>962</v>
      </c>
      <c r="D110" t="s">
        <v>549</v>
      </c>
      <c r="E110" t="s">
        <v>22</v>
      </c>
      <c r="F110" t="s">
        <v>547</v>
      </c>
      <c r="G110" t="s">
        <v>961</v>
      </c>
      <c r="H110" t="s">
        <v>74</v>
      </c>
      <c r="I110" t="s">
        <v>152</v>
      </c>
      <c r="J110">
        <v>2</v>
      </c>
      <c r="K110">
        <v>2023</v>
      </c>
      <c r="L110" t="s">
        <v>1081</v>
      </c>
    </row>
    <row r="111" spans="1:12" x14ac:dyDescent="0.2">
      <c r="A111" t="s">
        <v>735</v>
      </c>
      <c r="B111" s="88">
        <v>45069</v>
      </c>
      <c r="C111" t="s">
        <v>962</v>
      </c>
      <c r="D111" t="s">
        <v>549</v>
      </c>
      <c r="E111" t="s">
        <v>22</v>
      </c>
      <c r="F111" t="s">
        <v>547</v>
      </c>
      <c r="G111" t="s">
        <v>961</v>
      </c>
      <c r="H111" t="s">
        <v>74</v>
      </c>
      <c r="I111" t="s">
        <v>151</v>
      </c>
      <c r="J111">
        <v>3</v>
      </c>
      <c r="K111">
        <v>2023</v>
      </c>
      <c r="L111" t="s">
        <v>1082</v>
      </c>
    </row>
    <row r="112" spans="1:12" x14ac:dyDescent="0.2">
      <c r="A112" t="s">
        <v>736</v>
      </c>
      <c r="B112" s="88">
        <v>45069</v>
      </c>
      <c r="C112" t="s">
        <v>962</v>
      </c>
      <c r="D112" t="s">
        <v>549</v>
      </c>
      <c r="E112" t="s">
        <v>22</v>
      </c>
      <c r="F112" t="s">
        <v>547</v>
      </c>
      <c r="G112" t="s">
        <v>961</v>
      </c>
      <c r="H112" t="s">
        <v>74</v>
      </c>
      <c r="I112" t="s">
        <v>152</v>
      </c>
      <c r="J112">
        <v>3</v>
      </c>
      <c r="K112">
        <v>2023</v>
      </c>
      <c r="L112" t="s">
        <v>1083</v>
      </c>
    </row>
    <row r="113" spans="1:12" x14ac:dyDescent="0.2">
      <c r="A113" t="s">
        <v>737</v>
      </c>
      <c r="B113" s="88">
        <v>45069</v>
      </c>
      <c r="C113" t="s">
        <v>962</v>
      </c>
      <c r="D113" t="s">
        <v>549</v>
      </c>
      <c r="E113" t="s">
        <v>22</v>
      </c>
      <c r="F113" t="s">
        <v>547</v>
      </c>
      <c r="G113" t="s">
        <v>961</v>
      </c>
      <c r="H113" t="s">
        <v>51</v>
      </c>
      <c r="I113" t="s">
        <v>151</v>
      </c>
      <c r="J113">
        <v>1</v>
      </c>
      <c r="K113">
        <v>2023</v>
      </c>
      <c r="L113" t="s">
        <v>1084</v>
      </c>
    </row>
    <row r="114" spans="1:12" x14ac:dyDescent="0.2">
      <c r="A114" t="s">
        <v>738</v>
      </c>
      <c r="B114" s="88">
        <v>45069</v>
      </c>
      <c r="C114" t="s">
        <v>962</v>
      </c>
      <c r="D114" t="s">
        <v>549</v>
      </c>
      <c r="E114" t="s">
        <v>22</v>
      </c>
      <c r="F114" t="s">
        <v>547</v>
      </c>
      <c r="G114" t="s">
        <v>961</v>
      </c>
      <c r="H114" t="s">
        <v>51</v>
      </c>
      <c r="I114" t="s">
        <v>152</v>
      </c>
      <c r="J114">
        <v>1</v>
      </c>
      <c r="K114">
        <v>2023</v>
      </c>
      <c r="L114" t="s">
        <v>1085</v>
      </c>
    </row>
    <row r="115" spans="1:12" x14ac:dyDescent="0.2">
      <c r="A115" t="s">
        <v>741</v>
      </c>
      <c r="B115" s="88">
        <v>45069</v>
      </c>
      <c r="C115" t="s">
        <v>962</v>
      </c>
      <c r="D115" t="s">
        <v>549</v>
      </c>
      <c r="E115" t="s">
        <v>22</v>
      </c>
      <c r="F115" t="s">
        <v>547</v>
      </c>
      <c r="G115" t="s">
        <v>961</v>
      </c>
      <c r="H115" t="s">
        <v>51</v>
      </c>
      <c r="I115" t="s">
        <v>151</v>
      </c>
      <c r="J115">
        <v>2</v>
      </c>
      <c r="K115">
        <v>2023</v>
      </c>
      <c r="L115" t="s">
        <v>1086</v>
      </c>
    </row>
    <row r="116" spans="1:12" x14ac:dyDescent="0.2">
      <c r="A116" t="s">
        <v>742</v>
      </c>
      <c r="B116" s="88">
        <v>45069</v>
      </c>
      <c r="C116" t="s">
        <v>962</v>
      </c>
      <c r="D116" t="s">
        <v>549</v>
      </c>
      <c r="E116" t="s">
        <v>22</v>
      </c>
      <c r="F116" t="s">
        <v>547</v>
      </c>
      <c r="G116" t="s">
        <v>961</v>
      </c>
      <c r="H116" t="s">
        <v>51</v>
      </c>
      <c r="I116" t="s">
        <v>152</v>
      </c>
      <c r="J116">
        <v>2</v>
      </c>
      <c r="K116">
        <v>2023</v>
      </c>
      <c r="L116" t="s">
        <v>1087</v>
      </c>
    </row>
    <row r="117" spans="1:12" x14ac:dyDescent="0.2">
      <c r="A117" t="s">
        <v>743</v>
      </c>
      <c r="B117" s="88">
        <v>45069</v>
      </c>
      <c r="C117" t="s">
        <v>962</v>
      </c>
      <c r="D117" t="s">
        <v>549</v>
      </c>
      <c r="E117" t="s">
        <v>22</v>
      </c>
      <c r="F117" t="s">
        <v>547</v>
      </c>
      <c r="G117" t="s">
        <v>961</v>
      </c>
      <c r="H117" t="s">
        <v>51</v>
      </c>
      <c r="I117" t="s">
        <v>151</v>
      </c>
      <c r="J117">
        <v>3</v>
      </c>
      <c r="K117">
        <v>2023</v>
      </c>
      <c r="L117" t="s">
        <v>1088</v>
      </c>
    </row>
    <row r="118" spans="1:12" x14ac:dyDescent="0.2">
      <c r="A118" t="s">
        <v>744</v>
      </c>
      <c r="B118" s="88">
        <v>45069</v>
      </c>
      <c r="C118" t="s">
        <v>962</v>
      </c>
      <c r="D118" t="s">
        <v>549</v>
      </c>
      <c r="E118" t="s">
        <v>22</v>
      </c>
      <c r="F118" t="s">
        <v>547</v>
      </c>
      <c r="G118" t="s">
        <v>961</v>
      </c>
      <c r="H118" t="s">
        <v>51</v>
      </c>
      <c r="I118" t="s">
        <v>152</v>
      </c>
      <c r="J118">
        <v>3</v>
      </c>
      <c r="K118">
        <v>2023</v>
      </c>
      <c r="L118" t="s">
        <v>1089</v>
      </c>
    </row>
    <row r="119" spans="1:12" x14ac:dyDescent="0.2">
      <c r="A119" t="s">
        <v>648</v>
      </c>
      <c r="B119" s="88">
        <v>45069</v>
      </c>
      <c r="C119" t="s">
        <v>962</v>
      </c>
      <c r="D119" t="s">
        <v>549</v>
      </c>
      <c r="E119" t="s">
        <v>22</v>
      </c>
      <c r="F119" t="s">
        <v>547</v>
      </c>
      <c r="G119" t="s">
        <v>961</v>
      </c>
      <c r="H119" t="s">
        <v>60</v>
      </c>
      <c r="I119" t="s">
        <v>151</v>
      </c>
      <c r="J119">
        <v>1</v>
      </c>
      <c r="K119">
        <v>2023</v>
      </c>
      <c r="L119" t="s">
        <v>1090</v>
      </c>
    </row>
    <row r="120" spans="1:12" x14ac:dyDescent="0.2">
      <c r="A120" t="s">
        <v>649</v>
      </c>
      <c r="B120" s="88">
        <v>45069</v>
      </c>
      <c r="C120" t="s">
        <v>962</v>
      </c>
      <c r="D120" t="s">
        <v>549</v>
      </c>
      <c r="E120" t="s">
        <v>22</v>
      </c>
      <c r="F120" t="s">
        <v>547</v>
      </c>
      <c r="G120" t="s">
        <v>961</v>
      </c>
      <c r="H120" t="s">
        <v>60</v>
      </c>
      <c r="I120" t="s">
        <v>152</v>
      </c>
      <c r="J120">
        <v>1</v>
      </c>
      <c r="K120">
        <v>2023</v>
      </c>
      <c r="L120" t="s">
        <v>1091</v>
      </c>
    </row>
    <row r="121" spans="1:12" x14ac:dyDescent="0.2">
      <c r="A121" t="s">
        <v>745</v>
      </c>
      <c r="B121" s="88">
        <v>45069</v>
      </c>
      <c r="C121" t="s">
        <v>962</v>
      </c>
      <c r="D121" t="s">
        <v>549</v>
      </c>
      <c r="E121" t="s">
        <v>22</v>
      </c>
      <c r="F121" t="s">
        <v>547</v>
      </c>
      <c r="G121" t="s">
        <v>961</v>
      </c>
      <c r="H121" t="s">
        <v>60</v>
      </c>
      <c r="I121" t="s">
        <v>151</v>
      </c>
      <c r="J121">
        <v>2</v>
      </c>
      <c r="K121">
        <v>2023</v>
      </c>
      <c r="L121" t="s">
        <v>1092</v>
      </c>
    </row>
    <row r="122" spans="1:12" x14ac:dyDescent="0.2">
      <c r="A122" t="s">
        <v>746</v>
      </c>
      <c r="B122" s="88">
        <v>45069</v>
      </c>
      <c r="C122" t="s">
        <v>962</v>
      </c>
      <c r="D122" t="s">
        <v>549</v>
      </c>
      <c r="E122" t="s">
        <v>22</v>
      </c>
      <c r="F122" t="s">
        <v>547</v>
      </c>
      <c r="G122" t="s">
        <v>961</v>
      </c>
      <c r="H122" t="s">
        <v>60</v>
      </c>
      <c r="I122" t="s">
        <v>152</v>
      </c>
      <c r="J122">
        <v>2</v>
      </c>
      <c r="K122">
        <v>2023</v>
      </c>
      <c r="L122" t="s">
        <v>1093</v>
      </c>
    </row>
    <row r="123" spans="1:12" x14ac:dyDescent="0.2">
      <c r="A123" t="s">
        <v>747</v>
      </c>
      <c r="B123" s="88">
        <v>45069</v>
      </c>
      <c r="C123" t="s">
        <v>962</v>
      </c>
      <c r="D123" t="s">
        <v>549</v>
      </c>
      <c r="E123" t="s">
        <v>22</v>
      </c>
      <c r="F123" t="s">
        <v>547</v>
      </c>
      <c r="G123" t="s">
        <v>961</v>
      </c>
      <c r="H123" t="s">
        <v>60</v>
      </c>
      <c r="I123" t="s">
        <v>151</v>
      </c>
      <c r="J123">
        <v>3</v>
      </c>
      <c r="K123">
        <v>2023</v>
      </c>
      <c r="L123" t="s">
        <v>1094</v>
      </c>
    </row>
    <row r="124" spans="1:12" x14ac:dyDescent="0.2">
      <c r="A124" t="s">
        <v>748</v>
      </c>
      <c r="B124" s="88">
        <v>45069</v>
      </c>
      <c r="C124" t="s">
        <v>962</v>
      </c>
      <c r="D124" t="s">
        <v>549</v>
      </c>
      <c r="E124" t="s">
        <v>22</v>
      </c>
      <c r="F124" t="s">
        <v>547</v>
      </c>
      <c r="G124" t="s">
        <v>961</v>
      </c>
      <c r="H124" t="s">
        <v>60</v>
      </c>
      <c r="I124" t="s">
        <v>152</v>
      </c>
      <c r="J124">
        <v>3</v>
      </c>
      <c r="K124">
        <v>2023</v>
      </c>
      <c r="L124" t="s">
        <v>1095</v>
      </c>
    </row>
    <row r="125" spans="1:12" x14ac:dyDescent="0.2">
      <c r="A125" t="s">
        <v>652</v>
      </c>
      <c r="B125" s="88">
        <v>45069</v>
      </c>
      <c r="C125" t="s">
        <v>962</v>
      </c>
      <c r="D125" t="s">
        <v>549</v>
      </c>
      <c r="E125" t="s">
        <v>22</v>
      </c>
      <c r="F125" t="s">
        <v>547</v>
      </c>
      <c r="G125" t="s">
        <v>961</v>
      </c>
      <c r="H125" t="s">
        <v>36</v>
      </c>
      <c r="I125" t="s">
        <v>151</v>
      </c>
      <c r="J125">
        <v>1</v>
      </c>
      <c r="K125">
        <v>2023</v>
      </c>
      <c r="L125" t="s">
        <v>1096</v>
      </c>
    </row>
    <row r="126" spans="1:12" x14ac:dyDescent="0.2">
      <c r="A126" t="s">
        <v>653</v>
      </c>
      <c r="B126" s="88">
        <v>45069</v>
      </c>
      <c r="C126" t="s">
        <v>962</v>
      </c>
      <c r="D126" t="s">
        <v>549</v>
      </c>
      <c r="E126" t="s">
        <v>22</v>
      </c>
      <c r="F126" t="s">
        <v>547</v>
      </c>
      <c r="G126" t="s">
        <v>961</v>
      </c>
      <c r="H126" t="s">
        <v>36</v>
      </c>
      <c r="I126" t="s">
        <v>152</v>
      </c>
      <c r="J126">
        <v>1</v>
      </c>
      <c r="K126">
        <v>2023</v>
      </c>
      <c r="L126" t="s">
        <v>1097</v>
      </c>
    </row>
    <row r="127" spans="1:12" x14ac:dyDescent="0.2">
      <c r="A127" t="s">
        <v>749</v>
      </c>
      <c r="B127" s="88">
        <v>45069</v>
      </c>
      <c r="C127" t="s">
        <v>962</v>
      </c>
      <c r="D127" t="s">
        <v>549</v>
      </c>
      <c r="E127" t="s">
        <v>22</v>
      </c>
      <c r="F127" t="s">
        <v>547</v>
      </c>
      <c r="G127" t="s">
        <v>961</v>
      </c>
      <c r="H127" t="s">
        <v>36</v>
      </c>
      <c r="I127" t="s">
        <v>151</v>
      </c>
      <c r="J127">
        <v>2</v>
      </c>
      <c r="K127">
        <v>2023</v>
      </c>
      <c r="L127" t="s">
        <v>1098</v>
      </c>
    </row>
    <row r="128" spans="1:12" x14ac:dyDescent="0.2">
      <c r="A128" t="s">
        <v>750</v>
      </c>
      <c r="B128" s="88">
        <v>45069</v>
      </c>
      <c r="C128" t="s">
        <v>962</v>
      </c>
      <c r="D128" t="s">
        <v>549</v>
      </c>
      <c r="E128" t="s">
        <v>22</v>
      </c>
      <c r="F128" t="s">
        <v>547</v>
      </c>
      <c r="G128" t="s">
        <v>961</v>
      </c>
      <c r="H128" t="s">
        <v>36</v>
      </c>
      <c r="I128" t="s">
        <v>152</v>
      </c>
      <c r="J128">
        <v>2</v>
      </c>
      <c r="K128">
        <v>2023</v>
      </c>
      <c r="L128" t="s">
        <v>1099</v>
      </c>
    </row>
    <row r="129" spans="1:12" x14ac:dyDescent="0.2">
      <c r="A129" t="s">
        <v>751</v>
      </c>
      <c r="B129" s="88">
        <v>45069</v>
      </c>
      <c r="C129" t="s">
        <v>962</v>
      </c>
      <c r="D129" t="s">
        <v>549</v>
      </c>
      <c r="E129" t="s">
        <v>22</v>
      </c>
      <c r="F129" t="s">
        <v>547</v>
      </c>
      <c r="G129" t="s">
        <v>961</v>
      </c>
      <c r="H129" t="s">
        <v>36</v>
      </c>
      <c r="I129" t="s">
        <v>151</v>
      </c>
      <c r="J129">
        <v>3</v>
      </c>
      <c r="K129">
        <v>2023</v>
      </c>
      <c r="L129" t="s">
        <v>1100</v>
      </c>
    </row>
    <row r="130" spans="1:12" x14ac:dyDescent="0.2">
      <c r="A130" t="s">
        <v>752</v>
      </c>
      <c r="B130" s="88">
        <v>45069</v>
      </c>
      <c r="C130" t="s">
        <v>962</v>
      </c>
      <c r="D130" t="s">
        <v>549</v>
      </c>
      <c r="E130" t="s">
        <v>22</v>
      </c>
      <c r="F130" t="s">
        <v>547</v>
      </c>
      <c r="G130" t="s">
        <v>961</v>
      </c>
      <c r="H130" t="s">
        <v>36</v>
      </c>
      <c r="I130" t="s">
        <v>152</v>
      </c>
      <c r="J130">
        <v>3</v>
      </c>
      <c r="K130">
        <v>2023</v>
      </c>
      <c r="L130" t="s">
        <v>1101</v>
      </c>
    </row>
    <row r="131" spans="1:12" x14ac:dyDescent="0.2">
      <c r="A131" t="s">
        <v>656</v>
      </c>
      <c r="B131" s="88">
        <v>45069</v>
      </c>
      <c r="C131" t="s">
        <v>962</v>
      </c>
      <c r="D131" t="s">
        <v>549</v>
      </c>
      <c r="E131" t="s">
        <v>22</v>
      </c>
      <c r="F131" t="s">
        <v>547</v>
      </c>
      <c r="G131" t="s">
        <v>961</v>
      </c>
      <c r="H131" t="s">
        <v>34</v>
      </c>
      <c r="I131" t="s">
        <v>151</v>
      </c>
      <c r="J131">
        <v>1</v>
      </c>
      <c r="K131">
        <v>2023</v>
      </c>
      <c r="L131" t="s">
        <v>1102</v>
      </c>
    </row>
    <row r="132" spans="1:12" x14ac:dyDescent="0.2">
      <c r="A132" t="s">
        <v>657</v>
      </c>
      <c r="B132" s="88">
        <v>45069</v>
      </c>
      <c r="C132" t="s">
        <v>962</v>
      </c>
      <c r="D132" t="s">
        <v>549</v>
      </c>
      <c r="E132" t="s">
        <v>22</v>
      </c>
      <c r="F132" t="s">
        <v>547</v>
      </c>
      <c r="G132" t="s">
        <v>961</v>
      </c>
      <c r="H132" t="s">
        <v>34</v>
      </c>
      <c r="I132" t="s">
        <v>152</v>
      </c>
      <c r="J132">
        <v>1</v>
      </c>
      <c r="K132">
        <v>2023</v>
      </c>
      <c r="L132" t="s">
        <v>1103</v>
      </c>
    </row>
    <row r="133" spans="1:12" x14ac:dyDescent="0.2">
      <c r="A133" t="s">
        <v>753</v>
      </c>
      <c r="B133" s="88">
        <v>45069</v>
      </c>
      <c r="C133" t="s">
        <v>962</v>
      </c>
      <c r="D133" t="s">
        <v>549</v>
      </c>
      <c r="E133" t="s">
        <v>22</v>
      </c>
      <c r="F133" t="s">
        <v>547</v>
      </c>
      <c r="G133" t="s">
        <v>961</v>
      </c>
      <c r="H133" t="s">
        <v>34</v>
      </c>
      <c r="I133" t="s">
        <v>151</v>
      </c>
      <c r="J133">
        <v>2</v>
      </c>
      <c r="K133">
        <v>2023</v>
      </c>
      <c r="L133" t="s">
        <v>1104</v>
      </c>
    </row>
    <row r="134" spans="1:12" x14ac:dyDescent="0.2">
      <c r="A134" t="s">
        <v>754</v>
      </c>
      <c r="B134" s="88">
        <v>45069</v>
      </c>
      <c r="C134" t="s">
        <v>962</v>
      </c>
      <c r="D134" t="s">
        <v>549</v>
      </c>
      <c r="E134" t="s">
        <v>22</v>
      </c>
      <c r="F134" t="s">
        <v>547</v>
      </c>
      <c r="G134" t="s">
        <v>961</v>
      </c>
      <c r="H134" t="s">
        <v>34</v>
      </c>
      <c r="I134" t="s">
        <v>152</v>
      </c>
      <c r="J134">
        <v>2</v>
      </c>
      <c r="K134">
        <v>2023</v>
      </c>
      <c r="L134" t="s">
        <v>1105</v>
      </c>
    </row>
    <row r="135" spans="1:12" x14ac:dyDescent="0.2">
      <c r="A135" t="s">
        <v>755</v>
      </c>
      <c r="B135" s="88">
        <v>45069</v>
      </c>
      <c r="C135" t="s">
        <v>962</v>
      </c>
      <c r="D135" t="s">
        <v>549</v>
      </c>
      <c r="E135" t="s">
        <v>22</v>
      </c>
      <c r="F135" t="s">
        <v>547</v>
      </c>
      <c r="G135" t="s">
        <v>961</v>
      </c>
      <c r="H135" t="s">
        <v>34</v>
      </c>
      <c r="I135" t="s">
        <v>151</v>
      </c>
      <c r="J135">
        <v>3</v>
      </c>
      <c r="K135">
        <v>2023</v>
      </c>
      <c r="L135" t="s">
        <v>1106</v>
      </c>
    </row>
    <row r="136" spans="1:12" x14ac:dyDescent="0.2">
      <c r="A136" t="s">
        <v>756</v>
      </c>
      <c r="B136" s="88">
        <v>45069</v>
      </c>
      <c r="C136" t="s">
        <v>962</v>
      </c>
      <c r="D136" t="s">
        <v>549</v>
      </c>
      <c r="E136" t="s">
        <v>22</v>
      </c>
      <c r="F136" t="s">
        <v>547</v>
      </c>
      <c r="G136" t="s">
        <v>961</v>
      </c>
      <c r="H136" t="s">
        <v>34</v>
      </c>
      <c r="I136" t="s">
        <v>152</v>
      </c>
      <c r="J136">
        <v>3</v>
      </c>
      <c r="K136">
        <v>2023</v>
      </c>
      <c r="L136" t="s">
        <v>1107</v>
      </c>
    </row>
    <row r="137" spans="1:12" x14ac:dyDescent="0.2">
      <c r="A137" t="s">
        <v>757</v>
      </c>
      <c r="B137" s="88">
        <v>45071</v>
      </c>
      <c r="C137" t="s">
        <v>962</v>
      </c>
      <c r="D137" t="s">
        <v>552</v>
      </c>
      <c r="E137" t="s">
        <v>95</v>
      </c>
      <c r="F137" t="s">
        <v>543</v>
      </c>
      <c r="G137" t="s">
        <v>960</v>
      </c>
      <c r="H137" t="s">
        <v>43</v>
      </c>
      <c r="I137" t="s">
        <v>152</v>
      </c>
      <c r="J137">
        <v>1</v>
      </c>
      <c r="K137">
        <v>2023</v>
      </c>
      <c r="L137" t="s">
        <v>1108</v>
      </c>
    </row>
    <row r="138" spans="1:12" x14ac:dyDescent="0.2">
      <c r="A138" t="s">
        <v>760</v>
      </c>
      <c r="B138" s="88">
        <v>45071</v>
      </c>
      <c r="C138" t="s">
        <v>962</v>
      </c>
      <c r="D138" t="s">
        <v>552</v>
      </c>
      <c r="E138" t="s">
        <v>95</v>
      </c>
      <c r="F138" t="s">
        <v>543</v>
      </c>
      <c r="G138" t="s">
        <v>960</v>
      </c>
      <c r="H138" t="s">
        <v>43</v>
      </c>
      <c r="I138" t="s">
        <v>152</v>
      </c>
      <c r="J138">
        <v>2</v>
      </c>
      <c r="K138">
        <v>2023</v>
      </c>
      <c r="L138" t="s">
        <v>1109</v>
      </c>
    </row>
    <row r="139" spans="1:12" x14ac:dyDescent="0.2">
      <c r="A139" t="s">
        <v>761</v>
      </c>
      <c r="B139" s="88">
        <v>45071</v>
      </c>
      <c r="C139" t="s">
        <v>962</v>
      </c>
      <c r="D139" t="s">
        <v>552</v>
      </c>
      <c r="E139" t="s">
        <v>95</v>
      </c>
      <c r="F139" t="s">
        <v>543</v>
      </c>
      <c r="G139" t="s">
        <v>960</v>
      </c>
      <c r="H139" t="s">
        <v>43</v>
      </c>
      <c r="I139" t="s">
        <v>152</v>
      </c>
      <c r="J139">
        <v>3</v>
      </c>
      <c r="K139">
        <v>2023</v>
      </c>
      <c r="L139" t="s">
        <v>1110</v>
      </c>
    </row>
    <row r="140" spans="1:12" x14ac:dyDescent="0.2">
      <c r="A140" t="s">
        <v>762</v>
      </c>
      <c r="B140" s="88">
        <v>45071</v>
      </c>
      <c r="C140" t="s">
        <v>962</v>
      </c>
      <c r="D140" t="s">
        <v>552</v>
      </c>
      <c r="E140" t="s">
        <v>95</v>
      </c>
      <c r="F140" t="s">
        <v>543</v>
      </c>
      <c r="G140" t="s">
        <v>960</v>
      </c>
      <c r="H140" t="s">
        <v>51</v>
      </c>
      <c r="I140" t="s">
        <v>152</v>
      </c>
      <c r="J140">
        <v>1</v>
      </c>
      <c r="K140">
        <v>2023</v>
      </c>
      <c r="L140" t="s">
        <v>1111</v>
      </c>
    </row>
    <row r="141" spans="1:12" x14ac:dyDescent="0.2">
      <c r="A141" t="s">
        <v>765</v>
      </c>
      <c r="B141" s="88">
        <v>45071</v>
      </c>
      <c r="C141" t="s">
        <v>962</v>
      </c>
      <c r="D141" t="s">
        <v>552</v>
      </c>
      <c r="E141" t="s">
        <v>95</v>
      </c>
      <c r="F141" t="s">
        <v>543</v>
      </c>
      <c r="G141" t="s">
        <v>960</v>
      </c>
      <c r="H141" t="s">
        <v>51</v>
      </c>
      <c r="I141" t="s">
        <v>152</v>
      </c>
      <c r="J141">
        <v>2</v>
      </c>
      <c r="K141">
        <v>2023</v>
      </c>
      <c r="L141" t="s">
        <v>1112</v>
      </c>
    </row>
    <row r="142" spans="1:12" x14ac:dyDescent="0.2">
      <c r="A142" t="s">
        <v>766</v>
      </c>
      <c r="B142" s="88">
        <v>45071</v>
      </c>
      <c r="C142" t="s">
        <v>962</v>
      </c>
      <c r="D142" t="s">
        <v>552</v>
      </c>
      <c r="E142" t="s">
        <v>95</v>
      </c>
      <c r="F142" t="s">
        <v>543</v>
      </c>
      <c r="G142" t="s">
        <v>960</v>
      </c>
      <c r="H142" t="s">
        <v>51</v>
      </c>
      <c r="I142" t="s">
        <v>152</v>
      </c>
      <c r="J142">
        <v>3</v>
      </c>
      <c r="K142">
        <v>2023</v>
      </c>
      <c r="L142" t="s">
        <v>1113</v>
      </c>
    </row>
    <row r="143" spans="1:12" x14ac:dyDescent="0.2">
      <c r="A143" t="s">
        <v>660</v>
      </c>
      <c r="B143" s="88">
        <v>45071</v>
      </c>
      <c r="C143" t="s">
        <v>962</v>
      </c>
      <c r="D143" t="s">
        <v>552</v>
      </c>
      <c r="E143" t="s">
        <v>95</v>
      </c>
      <c r="F143" t="s">
        <v>543</v>
      </c>
      <c r="G143" t="s">
        <v>960</v>
      </c>
      <c r="H143" t="s">
        <v>60</v>
      </c>
      <c r="I143" t="s">
        <v>152</v>
      </c>
      <c r="J143">
        <v>1</v>
      </c>
      <c r="K143">
        <v>2023</v>
      </c>
      <c r="L143" t="s">
        <v>1114</v>
      </c>
    </row>
    <row r="144" spans="1:12" x14ac:dyDescent="0.2">
      <c r="A144" t="s">
        <v>767</v>
      </c>
      <c r="B144" s="88">
        <v>45071</v>
      </c>
      <c r="C144" t="s">
        <v>962</v>
      </c>
      <c r="D144" t="s">
        <v>552</v>
      </c>
      <c r="E144" t="s">
        <v>95</v>
      </c>
      <c r="F144" t="s">
        <v>543</v>
      </c>
      <c r="G144" t="s">
        <v>960</v>
      </c>
      <c r="H144" t="s">
        <v>60</v>
      </c>
      <c r="I144" t="s">
        <v>152</v>
      </c>
      <c r="J144">
        <v>2</v>
      </c>
      <c r="K144">
        <v>2023</v>
      </c>
      <c r="L144" t="s">
        <v>1115</v>
      </c>
    </row>
    <row r="145" spans="1:12" x14ac:dyDescent="0.2">
      <c r="A145" t="s">
        <v>768</v>
      </c>
      <c r="B145" s="88">
        <v>45071</v>
      </c>
      <c r="C145" t="s">
        <v>962</v>
      </c>
      <c r="D145" t="s">
        <v>552</v>
      </c>
      <c r="E145" t="s">
        <v>95</v>
      </c>
      <c r="F145" t="s">
        <v>543</v>
      </c>
      <c r="G145" t="s">
        <v>960</v>
      </c>
      <c r="H145" t="s">
        <v>60</v>
      </c>
      <c r="I145" t="s">
        <v>152</v>
      </c>
      <c r="J145">
        <v>3</v>
      </c>
      <c r="K145">
        <v>2023</v>
      </c>
      <c r="L145" t="s">
        <v>1116</v>
      </c>
    </row>
    <row r="146" spans="1:12" x14ac:dyDescent="0.2">
      <c r="A146" t="s">
        <v>663</v>
      </c>
      <c r="B146" s="88">
        <v>45071</v>
      </c>
      <c r="C146" t="s">
        <v>962</v>
      </c>
      <c r="D146" t="s">
        <v>552</v>
      </c>
      <c r="E146" t="s">
        <v>95</v>
      </c>
      <c r="F146" t="s">
        <v>543</v>
      </c>
      <c r="G146" t="s">
        <v>960</v>
      </c>
      <c r="H146" t="s">
        <v>36</v>
      </c>
      <c r="I146" t="s">
        <v>152</v>
      </c>
      <c r="J146">
        <v>1</v>
      </c>
      <c r="K146">
        <v>2023</v>
      </c>
      <c r="L146" t="s">
        <v>1117</v>
      </c>
    </row>
    <row r="147" spans="1:12" x14ac:dyDescent="0.2">
      <c r="A147" t="s">
        <v>769</v>
      </c>
      <c r="B147" s="88">
        <v>45071</v>
      </c>
      <c r="C147" t="s">
        <v>962</v>
      </c>
      <c r="D147" t="s">
        <v>552</v>
      </c>
      <c r="E147" t="s">
        <v>95</v>
      </c>
      <c r="F147" t="s">
        <v>543</v>
      </c>
      <c r="G147" t="s">
        <v>960</v>
      </c>
      <c r="H147" t="s">
        <v>36</v>
      </c>
      <c r="I147" t="s">
        <v>152</v>
      </c>
      <c r="J147">
        <v>2</v>
      </c>
      <c r="K147">
        <v>2023</v>
      </c>
      <c r="L147" t="s">
        <v>1118</v>
      </c>
    </row>
    <row r="148" spans="1:12" x14ac:dyDescent="0.2">
      <c r="A148" t="s">
        <v>770</v>
      </c>
      <c r="B148" s="88">
        <v>45071</v>
      </c>
      <c r="C148" t="s">
        <v>962</v>
      </c>
      <c r="D148" t="s">
        <v>552</v>
      </c>
      <c r="E148" t="s">
        <v>95</v>
      </c>
      <c r="F148" t="s">
        <v>543</v>
      </c>
      <c r="G148" t="s">
        <v>960</v>
      </c>
      <c r="H148" t="s">
        <v>36</v>
      </c>
      <c r="I148" t="s">
        <v>152</v>
      </c>
      <c r="J148">
        <v>3</v>
      </c>
      <c r="K148">
        <v>2023</v>
      </c>
      <c r="L148" t="s">
        <v>1119</v>
      </c>
    </row>
    <row r="149" spans="1:12" x14ac:dyDescent="0.2">
      <c r="A149" t="s">
        <v>666</v>
      </c>
      <c r="B149" s="88">
        <v>45071</v>
      </c>
      <c r="C149" t="s">
        <v>962</v>
      </c>
      <c r="D149" t="s">
        <v>552</v>
      </c>
      <c r="E149" t="s">
        <v>95</v>
      </c>
      <c r="F149" t="s">
        <v>543</v>
      </c>
      <c r="G149" t="s">
        <v>960</v>
      </c>
      <c r="H149" t="s">
        <v>45</v>
      </c>
      <c r="I149" t="s">
        <v>152</v>
      </c>
      <c r="J149">
        <v>1</v>
      </c>
      <c r="K149">
        <v>2023</v>
      </c>
      <c r="L149" t="s">
        <v>1120</v>
      </c>
    </row>
    <row r="150" spans="1:12" x14ac:dyDescent="0.2">
      <c r="A150" t="s">
        <v>771</v>
      </c>
      <c r="B150" s="88">
        <v>45071</v>
      </c>
      <c r="C150" t="s">
        <v>962</v>
      </c>
      <c r="D150" t="s">
        <v>552</v>
      </c>
      <c r="E150" t="s">
        <v>95</v>
      </c>
      <c r="F150" t="s">
        <v>543</v>
      </c>
      <c r="G150" t="s">
        <v>960</v>
      </c>
      <c r="H150" t="s">
        <v>45</v>
      </c>
      <c r="I150" t="s">
        <v>152</v>
      </c>
      <c r="J150">
        <v>2</v>
      </c>
      <c r="K150">
        <v>2023</v>
      </c>
      <c r="L150" t="s">
        <v>1121</v>
      </c>
    </row>
    <row r="151" spans="1:12" x14ac:dyDescent="0.2">
      <c r="A151" t="s">
        <v>772</v>
      </c>
      <c r="B151" s="88">
        <v>45071</v>
      </c>
      <c r="C151" t="s">
        <v>962</v>
      </c>
      <c r="D151" t="s">
        <v>552</v>
      </c>
      <c r="E151" t="s">
        <v>95</v>
      </c>
      <c r="F151" t="s">
        <v>543</v>
      </c>
      <c r="G151" t="s">
        <v>960</v>
      </c>
      <c r="H151" t="s">
        <v>45</v>
      </c>
      <c r="I151" t="s">
        <v>152</v>
      </c>
      <c r="J151">
        <v>3</v>
      </c>
      <c r="K151">
        <v>2023</v>
      </c>
      <c r="L151" t="s">
        <v>1122</v>
      </c>
    </row>
    <row r="152" spans="1:12" x14ac:dyDescent="0.2">
      <c r="A152" t="s">
        <v>773</v>
      </c>
      <c r="B152" s="88">
        <v>45071</v>
      </c>
      <c r="C152" t="s">
        <v>962</v>
      </c>
      <c r="D152" t="s">
        <v>550</v>
      </c>
      <c r="E152" t="s">
        <v>94</v>
      </c>
      <c r="F152" t="s">
        <v>544</v>
      </c>
      <c r="G152" t="s">
        <v>961</v>
      </c>
      <c r="H152" t="s">
        <v>43</v>
      </c>
      <c r="I152" t="s">
        <v>152</v>
      </c>
      <c r="J152">
        <v>1</v>
      </c>
      <c r="K152">
        <v>2023</v>
      </c>
      <c r="L152" t="s">
        <v>1123</v>
      </c>
    </row>
    <row r="153" spans="1:12" x14ac:dyDescent="0.2">
      <c r="A153" t="s">
        <v>774</v>
      </c>
      <c r="B153" s="88">
        <v>45071</v>
      </c>
      <c r="C153" t="s">
        <v>962</v>
      </c>
      <c r="D153" t="s">
        <v>550</v>
      </c>
      <c r="E153" t="s">
        <v>94</v>
      </c>
      <c r="F153" t="s">
        <v>544</v>
      </c>
      <c r="G153" t="s">
        <v>961</v>
      </c>
      <c r="H153" t="s">
        <v>43</v>
      </c>
      <c r="I153" t="s">
        <v>152</v>
      </c>
      <c r="J153">
        <v>2</v>
      </c>
      <c r="K153">
        <v>2023</v>
      </c>
      <c r="L153" t="s">
        <v>1124</v>
      </c>
    </row>
    <row r="154" spans="1:12" x14ac:dyDescent="0.2">
      <c r="A154" t="s">
        <v>775</v>
      </c>
      <c r="B154" s="88">
        <v>45071</v>
      </c>
      <c r="C154" t="s">
        <v>962</v>
      </c>
      <c r="D154" t="s">
        <v>550</v>
      </c>
      <c r="E154" t="s">
        <v>94</v>
      </c>
      <c r="F154" t="s">
        <v>544</v>
      </c>
      <c r="G154" t="s">
        <v>961</v>
      </c>
      <c r="H154" t="s">
        <v>43</v>
      </c>
      <c r="I154" t="s">
        <v>152</v>
      </c>
      <c r="J154">
        <v>3</v>
      </c>
      <c r="K154">
        <v>2023</v>
      </c>
      <c r="L154" t="s">
        <v>1125</v>
      </c>
    </row>
    <row r="155" spans="1:12" x14ac:dyDescent="0.2">
      <c r="A155" t="s">
        <v>776</v>
      </c>
      <c r="B155" s="88">
        <v>45071</v>
      </c>
      <c r="C155" t="s">
        <v>962</v>
      </c>
      <c r="D155" t="s">
        <v>550</v>
      </c>
      <c r="E155" t="s">
        <v>94</v>
      </c>
      <c r="F155" t="s">
        <v>544</v>
      </c>
      <c r="G155" t="s">
        <v>961</v>
      </c>
      <c r="H155" t="s">
        <v>51</v>
      </c>
      <c r="I155" t="s">
        <v>152</v>
      </c>
      <c r="J155">
        <v>1</v>
      </c>
      <c r="K155">
        <v>2023</v>
      </c>
      <c r="L155" t="s">
        <v>1126</v>
      </c>
    </row>
    <row r="156" spans="1:12" x14ac:dyDescent="0.2">
      <c r="A156" t="s">
        <v>777</v>
      </c>
      <c r="B156" s="88">
        <v>45071</v>
      </c>
      <c r="C156" t="s">
        <v>962</v>
      </c>
      <c r="D156" t="s">
        <v>550</v>
      </c>
      <c r="E156" t="s">
        <v>94</v>
      </c>
      <c r="F156" t="s">
        <v>544</v>
      </c>
      <c r="G156" t="s">
        <v>961</v>
      </c>
      <c r="H156" t="s">
        <v>51</v>
      </c>
      <c r="I156" t="s">
        <v>152</v>
      </c>
      <c r="J156">
        <v>2</v>
      </c>
      <c r="K156">
        <v>2023</v>
      </c>
      <c r="L156" t="s">
        <v>1127</v>
      </c>
    </row>
    <row r="157" spans="1:12" x14ac:dyDescent="0.2">
      <c r="A157" t="s">
        <v>778</v>
      </c>
      <c r="B157" s="88">
        <v>45071</v>
      </c>
      <c r="C157" t="s">
        <v>962</v>
      </c>
      <c r="D157" t="s">
        <v>550</v>
      </c>
      <c r="E157" t="s">
        <v>94</v>
      </c>
      <c r="F157" t="s">
        <v>544</v>
      </c>
      <c r="G157" t="s">
        <v>961</v>
      </c>
      <c r="H157" t="s">
        <v>51</v>
      </c>
      <c r="I157" t="s">
        <v>152</v>
      </c>
      <c r="J157">
        <v>3</v>
      </c>
      <c r="K157">
        <v>2023</v>
      </c>
      <c r="L157" t="s">
        <v>1128</v>
      </c>
    </row>
    <row r="158" spans="1:12" x14ac:dyDescent="0.2">
      <c r="A158" t="s">
        <v>669</v>
      </c>
      <c r="B158" s="88">
        <v>45071</v>
      </c>
      <c r="C158" t="s">
        <v>962</v>
      </c>
      <c r="D158" t="s">
        <v>550</v>
      </c>
      <c r="E158" t="s">
        <v>94</v>
      </c>
      <c r="F158" t="s">
        <v>544</v>
      </c>
      <c r="G158" t="s">
        <v>961</v>
      </c>
      <c r="H158" t="s">
        <v>60</v>
      </c>
      <c r="I158" t="s">
        <v>152</v>
      </c>
      <c r="J158">
        <v>1</v>
      </c>
      <c r="K158">
        <v>2023</v>
      </c>
      <c r="L158" t="s">
        <v>1129</v>
      </c>
    </row>
    <row r="159" spans="1:12" x14ac:dyDescent="0.2">
      <c r="A159" t="s">
        <v>779</v>
      </c>
      <c r="B159" s="88">
        <v>45071</v>
      </c>
      <c r="C159" t="s">
        <v>962</v>
      </c>
      <c r="D159" t="s">
        <v>550</v>
      </c>
      <c r="E159" t="s">
        <v>94</v>
      </c>
      <c r="F159" t="s">
        <v>544</v>
      </c>
      <c r="G159" t="s">
        <v>961</v>
      </c>
      <c r="H159" t="s">
        <v>60</v>
      </c>
      <c r="I159" t="s">
        <v>152</v>
      </c>
      <c r="J159">
        <v>2</v>
      </c>
      <c r="K159">
        <v>2023</v>
      </c>
      <c r="L159" t="s">
        <v>1130</v>
      </c>
    </row>
    <row r="160" spans="1:12" x14ac:dyDescent="0.2">
      <c r="A160" t="s">
        <v>780</v>
      </c>
      <c r="B160" s="88">
        <v>45071</v>
      </c>
      <c r="C160" t="s">
        <v>962</v>
      </c>
      <c r="D160" t="s">
        <v>550</v>
      </c>
      <c r="E160" t="s">
        <v>94</v>
      </c>
      <c r="F160" t="s">
        <v>544</v>
      </c>
      <c r="G160" t="s">
        <v>961</v>
      </c>
      <c r="H160" t="s">
        <v>60</v>
      </c>
      <c r="I160" t="s">
        <v>152</v>
      </c>
      <c r="J160">
        <v>3</v>
      </c>
      <c r="K160">
        <v>2023</v>
      </c>
      <c r="L160" t="s">
        <v>1131</v>
      </c>
    </row>
    <row r="161" spans="1:12" x14ac:dyDescent="0.2">
      <c r="A161" t="s">
        <v>672</v>
      </c>
      <c r="B161" s="88">
        <v>45071</v>
      </c>
      <c r="C161" t="s">
        <v>962</v>
      </c>
      <c r="D161" t="s">
        <v>550</v>
      </c>
      <c r="E161" t="s">
        <v>94</v>
      </c>
      <c r="F161" t="s">
        <v>544</v>
      </c>
      <c r="G161" t="s">
        <v>961</v>
      </c>
      <c r="H161" t="s">
        <v>36</v>
      </c>
      <c r="I161" t="s">
        <v>152</v>
      </c>
      <c r="J161">
        <v>1</v>
      </c>
      <c r="K161">
        <v>2023</v>
      </c>
      <c r="L161" t="s">
        <v>1132</v>
      </c>
    </row>
    <row r="162" spans="1:12" x14ac:dyDescent="0.2">
      <c r="A162" t="s">
        <v>781</v>
      </c>
      <c r="B162" s="88">
        <v>45071</v>
      </c>
      <c r="C162" t="s">
        <v>962</v>
      </c>
      <c r="D162" t="s">
        <v>550</v>
      </c>
      <c r="E162" t="s">
        <v>94</v>
      </c>
      <c r="F162" t="s">
        <v>544</v>
      </c>
      <c r="G162" t="s">
        <v>961</v>
      </c>
      <c r="H162" t="s">
        <v>36</v>
      </c>
      <c r="I162" t="s">
        <v>152</v>
      </c>
      <c r="J162">
        <v>2</v>
      </c>
      <c r="K162">
        <v>2023</v>
      </c>
      <c r="L162" t="s">
        <v>1133</v>
      </c>
    </row>
    <row r="163" spans="1:12" x14ac:dyDescent="0.2">
      <c r="A163" t="s">
        <v>782</v>
      </c>
      <c r="B163" s="88">
        <v>45071</v>
      </c>
      <c r="C163" t="s">
        <v>962</v>
      </c>
      <c r="D163" t="s">
        <v>550</v>
      </c>
      <c r="E163" t="s">
        <v>94</v>
      </c>
      <c r="F163" t="s">
        <v>544</v>
      </c>
      <c r="G163" t="s">
        <v>961</v>
      </c>
      <c r="H163" t="s">
        <v>36</v>
      </c>
      <c r="I163" t="s">
        <v>152</v>
      </c>
      <c r="J163">
        <v>3</v>
      </c>
      <c r="K163">
        <v>2023</v>
      </c>
      <c r="L163" t="s">
        <v>1134</v>
      </c>
    </row>
    <row r="164" spans="1:12" x14ac:dyDescent="0.2">
      <c r="A164" t="s">
        <v>675</v>
      </c>
      <c r="B164" s="88">
        <v>45071</v>
      </c>
      <c r="C164" t="s">
        <v>962</v>
      </c>
      <c r="D164" t="s">
        <v>550</v>
      </c>
      <c r="E164" t="s">
        <v>94</v>
      </c>
      <c r="F164" t="s">
        <v>544</v>
      </c>
      <c r="G164" t="s">
        <v>961</v>
      </c>
      <c r="H164" t="s">
        <v>45</v>
      </c>
      <c r="I164" t="s">
        <v>152</v>
      </c>
      <c r="J164">
        <v>1</v>
      </c>
      <c r="K164">
        <v>2023</v>
      </c>
      <c r="L164" t="s">
        <v>1135</v>
      </c>
    </row>
    <row r="165" spans="1:12" x14ac:dyDescent="0.2">
      <c r="A165" t="s">
        <v>783</v>
      </c>
      <c r="B165" s="88">
        <v>45071</v>
      </c>
      <c r="C165" t="s">
        <v>962</v>
      </c>
      <c r="D165" t="s">
        <v>550</v>
      </c>
      <c r="E165" t="s">
        <v>94</v>
      </c>
      <c r="F165" t="s">
        <v>544</v>
      </c>
      <c r="G165" t="s">
        <v>961</v>
      </c>
      <c r="H165" t="s">
        <v>45</v>
      </c>
      <c r="I165" t="s">
        <v>152</v>
      </c>
      <c r="J165">
        <v>2</v>
      </c>
      <c r="K165">
        <v>2023</v>
      </c>
      <c r="L165" t="s">
        <v>1136</v>
      </c>
    </row>
    <row r="166" spans="1:12" x14ac:dyDescent="0.2">
      <c r="A166" t="s">
        <v>784</v>
      </c>
      <c r="B166" s="88">
        <v>45071</v>
      </c>
      <c r="C166" t="s">
        <v>962</v>
      </c>
      <c r="D166" t="s">
        <v>550</v>
      </c>
      <c r="E166" t="s">
        <v>94</v>
      </c>
      <c r="F166" t="s">
        <v>544</v>
      </c>
      <c r="G166" t="s">
        <v>961</v>
      </c>
      <c r="H166" t="s">
        <v>45</v>
      </c>
      <c r="I166" t="s">
        <v>152</v>
      </c>
      <c r="J166">
        <v>3</v>
      </c>
      <c r="K166">
        <v>2023</v>
      </c>
      <c r="L166" t="s">
        <v>1137</v>
      </c>
    </row>
    <row r="167" spans="1:12" x14ac:dyDescent="0.2">
      <c r="A167" t="s">
        <v>785</v>
      </c>
      <c r="B167" s="88">
        <v>45126</v>
      </c>
      <c r="C167" t="s">
        <v>963</v>
      </c>
      <c r="D167" t="s">
        <v>551</v>
      </c>
      <c r="E167" t="s">
        <v>16</v>
      </c>
      <c r="F167" t="s">
        <v>548</v>
      </c>
      <c r="G167" t="s">
        <v>960</v>
      </c>
      <c r="H167" t="s">
        <v>43</v>
      </c>
      <c r="I167" t="s">
        <v>152</v>
      </c>
      <c r="J167">
        <v>1</v>
      </c>
      <c r="K167">
        <v>2023</v>
      </c>
      <c r="L167" t="s">
        <v>1138</v>
      </c>
    </row>
    <row r="168" spans="1:12" x14ac:dyDescent="0.2">
      <c r="A168" t="s">
        <v>558</v>
      </c>
      <c r="B168" s="88">
        <v>45126</v>
      </c>
      <c r="C168" t="s">
        <v>963</v>
      </c>
      <c r="D168" t="s">
        <v>551</v>
      </c>
      <c r="E168" t="s">
        <v>16</v>
      </c>
      <c r="F168" t="s">
        <v>548</v>
      </c>
      <c r="G168" t="s">
        <v>960</v>
      </c>
      <c r="H168" t="s">
        <v>43</v>
      </c>
      <c r="I168" t="s">
        <v>152</v>
      </c>
      <c r="J168">
        <v>2</v>
      </c>
      <c r="K168">
        <v>2023</v>
      </c>
      <c r="L168" t="s">
        <v>1139</v>
      </c>
    </row>
    <row r="169" spans="1:12" x14ac:dyDescent="0.2">
      <c r="A169" t="s">
        <v>786</v>
      </c>
      <c r="B169" s="88">
        <v>45126</v>
      </c>
      <c r="C169" t="s">
        <v>963</v>
      </c>
      <c r="D169" t="s">
        <v>551</v>
      </c>
      <c r="E169" t="s">
        <v>16</v>
      </c>
      <c r="F169" t="s">
        <v>548</v>
      </c>
      <c r="G169" t="s">
        <v>960</v>
      </c>
      <c r="H169" t="s">
        <v>43</v>
      </c>
      <c r="I169" t="s">
        <v>152</v>
      </c>
      <c r="J169">
        <v>3</v>
      </c>
      <c r="K169">
        <v>2023</v>
      </c>
      <c r="L169" t="s">
        <v>1140</v>
      </c>
    </row>
    <row r="170" spans="1:12" x14ac:dyDescent="0.2">
      <c r="A170" t="s">
        <v>787</v>
      </c>
      <c r="B170" s="88">
        <v>45126</v>
      </c>
      <c r="C170" t="s">
        <v>963</v>
      </c>
      <c r="D170" t="s">
        <v>551</v>
      </c>
      <c r="E170" t="s">
        <v>16</v>
      </c>
      <c r="F170" t="s">
        <v>548</v>
      </c>
      <c r="G170" t="s">
        <v>960</v>
      </c>
      <c r="H170" t="s">
        <v>74</v>
      </c>
      <c r="I170" t="s">
        <v>152</v>
      </c>
      <c r="J170">
        <v>1</v>
      </c>
      <c r="K170">
        <v>2023</v>
      </c>
      <c r="L170" t="s">
        <v>1141</v>
      </c>
    </row>
    <row r="171" spans="1:12" x14ac:dyDescent="0.2">
      <c r="A171" t="s">
        <v>566</v>
      </c>
      <c r="B171" s="88">
        <v>45126</v>
      </c>
      <c r="C171" t="s">
        <v>963</v>
      </c>
      <c r="D171" t="s">
        <v>551</v>
      </c>
      <c r="E171" t="s">
        <v>16</v>
      </c>
      <c r="F171" t="s">
        <v>548</v>
      </c>
      <c r="G171" t="s">
        <v>960</v>
      </c>
      <c r="H171" t="s">
        <v>74</v>
      </c>
      <c r="I171" t="s">
        <v>152</v>
      </c>
      <c r="J171">
        <v>2</v>
      </c>
      <c r="K171">
        <v>2023</v>
      </c>
      <c r="L171" t="s">
        <v>1142</v>
      </c>
    </row>
    <row r="172" spans="1:12" x14ac:dyDescent="0.2">
      <c r="A172" t="s">
        <v>788</v>
      </c>
      <c r="B172" s="88">
        <v>45126</v>
      </c>
      <c r="C172" t="s">
        <v>963</v>
      </c>
      <c r="D172" t="s">
        <v>551</v>
      </c>
      <c r="E172" t="s">
        <v>16</v>
      </c>
      <c r="F172" t="s">
        <v>548</v>
      </c>
      <c r="G172" t="s">
        <v>960</v>
      </c>
      <c r="H172" t="s">
        <v>74</v>
      </c>
      <c r="I172" t="s">
        <v>152</v>
      </c>
      <c r="J172">
        <v>3</v>
      </c>
      <c r="K172">
        <v>2023</v>
      </c>
      <c r="L172" t="s">
        <v>1143</v>
      </c>
    </row>
    <row r="173" spans="1:12" x14ac:dyDescent="0.2">
      <c r="A173" t="s">
        <v>789</v>
      </c>
      <c r="B173" s="88">
        <v>45126</v>
      </c>
      <c r="C173" t="s">
        <v>963</v>
      </c>
      <c r="D173" t="s">
        <v>551</v>
      </c>
      <c r="E173" t="s">
        <v>16</v>
      </c>
      <c r="F173" t="s">
        <v>548</v>
      </c>
      <c r="G173" t="s">
        <v>960</v>
      </c>
      <c r="H173" t="s">
        <v>51</v>
      </c>
      <c r="I173" t="s">
        <v>152</v>
      </c>
      <c r="J173">
        <v>1</v>
      </c>
      <c r="K173">
        <v>2023</v>
      </c>
      <c r="L173" t="s">
        <v>1144</v>
      </c>
    </row>
    <row r="174" spans="1:12" x14ac:dyDescent="0.2">
      <c r="A174" t="s">
        <v>570</v>
      </c>
      <c r="B174" s="88">
        <v>45126</v>
      </c>
      <c r="C174" t="s">
        <v>963</v>
      </c>
      <c r="D174" t="s">
        <v>551</v>
      </c>
      <c r="E174" t="s">
        <v>16</v>
      </c>
      <c r="F174" t="s">
        <v>548</v>
      </c>
      <c r="G174" t="s">
        <v>960</v>
      </c>
      <c r="H174" t="s">
        <v>51</v>
      </c>
      <c r="I174" t="s">
        <v>152</v>
      </c>
      <c r="J174">
        <v>2</v>
      </c>
      <c r="K174">
        <v>2023</v>
      </c>
      <c r="L174" t="s">
        <v>1145</v>
      </c>
    </row>
    <row r="175" spans="1:12" x14ac:dyDescent="0.2">
      <c r="A175" t="s">
        <v>790</v>
      </c>
      <c r="B175" s="88">
        <v>45126</v>
      </c>
      <c r="C175" t="s">
        <v>963</v>
      </c>
      <c r="D175" t="s">
        <v>551</v>
      </c>
      <c r="E175" t="s">
        <v>16</v>
      </c>
      <c r="F175" t="s">
        <v>548</v>
      </c>
      <c r="G175" t="s">
        <v>960</v>
      </c>
      <c r="H175" t="s">
        <v>51</v>
      </c>
      <c r="I175" t="s">
        <v>152</v>
      </c>
      <c r="J175">
        <v>3</v>
      </c>
      <c r="K175">
        <v>2023</v>
      </c>
      <c r="L175" t="s">
        <v>1146</v>
      </c>
    </row>
    <row r="176" spans="1:12" x14ac:dyDescent="0.2">
      <c r="A176" t="s">
        <v>791</v>
      </c>
      <c r="B176" s="88">
        <v>45126</v>
      </c>
      <c r="C176" t="s">
        <v>963</v>
      </c>
      <c r="D176" t="s">
        <v>551</v>
      </c>
      <c r="E176" t="s">
        <v>16</v>
      </c>
      <c r="F176" t="s">
        <v>548</v>
      </c>
      <c r="G176" t="s">
        <v>960</v>
      </c>
      <c r="H176" t="s">
        <v>60</v>
      </c>
      <c r="I176" t="s">
        <v>152</v>
      </c>
      <c r="J176">
        <v>1</v>
      </c>
      <c r="K176">
        <v>2023</v>
      </c>
      <c r="L176" t="s">
        <v>1147</v>
      </c>
    </row>
    <row r="177" spans="1:12" x14ac:dyDescent="0.2">
      <c r="A177" t="s">
        <v>582</v>
      </c>
      <c r="B177" s="88">
        <v>45126</v>
      </c>
      <c r="C177" t="s">
        <v>963</v>
      </c>
      <c r="D177" t="s">
        <v>551</v>
      </c>
      <c r="E177" t="s">
        <v>16</v>
      </c>
      <c r="F177" t="s">
        <v>548</v>
      </c>
      <c r="G177" t="s">
        <v>960</v>
      </c>
      <c r="H177" t="s">
        <v>60</v>
      </c>
      <c r="I177" t="s">
        <v>152</v>
      </c>
      <c r="J177">
        <v>2</v>
      </c>
      <c r="K177">
        <v>2023</v>
      </c>
      <c r="L177" t="s">
        <v>1148</v>
      </c>
    </row>
    <row r="178" spans="1:12" x14ac:dyDescent="0.2">
      <c r="A178" t="s">
        <v>792</v>
      </c>
      <c r="B178" s="88">
        <v>45126</v>
      </c>
      <c r="C178" t="s">
        <v>963</v>
      </c>
      <c r="D178" t="s">
        <v>551</v>
      </c>
      <c r="E178" t="s">
        <v>16</v>
      </c>
      <c r="F178" t="s">
        <v>548</v>
      </c>
      <c r="G178" t="s">
        <v>960</v>
      </c>
      <c r="H178" t="s">
        <v>60</v>
      </c>
      <c r="I178" t="s">
        <v>152</v>
      </c>
      <c r="J178">
        <v>3</v>
      </c>
      <c r="K178">
        <v>2023</v>
      </c>
      <c r="L178" t="s">
        <v>1149</v>
      </c>
    </row>
    <row r="179" spans="1:12" x14ac:dyDescent="0.2">
      <c r="A179" t="s">
        <v>793</v>
      </c>
      <c r="B179" s="88">
        <v>45126</v>
      </c>
      <c r="C179" t="s">
        <v>963</v>
      </c>
      <c r="D179" t="s">
        <v>551</v>
      </c>
      <c r="E179" t="s">
        <v>16</v>
      </c>
      <c r="F179" t="s">
        <v>548</v>
      </c>
      <c r="G179" t="s">
        <v>960</v>
      </c>
      <c r="H179" t="s">
        <v>36</v>
      </c>
      <c r="I179" t="s">
        <v>152</v>
      </c>
      <c r="J179">
        <v>1</v>
      </c>
      <c r="K179">
        <v>2023</v>
      </c>
      <c r="L179" t="s">
        <v>1150</v>
      </c>
    </row>
    <row r="180" spans="1:12" x14ac:dyDescent="0.2">
      <c r="A180" t="s">
        <v>586</v>
      </c>
      <c r="B180" s="88">
        <v>45126</v>
      </c>
      <c r="C180" t="s">
        <v>963</v>
      </c>
      <c r="D180" t="s">
        <v>551</v>
      </c>
      <c r="E180" t="s">
        <v>16</v>
      </c>
      <c r="F180" t="s">
        <v>548</v>
      </c>
      <c r="G180" t="s">
        <v>960</v>
      </c>
      <c r="H180" t="s">
        <v>36</v>
      </c>
      <c r="I180" t="s">
        <v>152</v>
      </c>
      <c r="J180">
        <v>2</v>
      </c>
      <c r="K180">
        <v>2023</v>
      </c>
      <c r="L180" t="s">
        <v>1151</v>
      </c>
    </row>
    <row r="181" spans="1:12" x14ac:dyDescent="0.2">
      <c r="A181" t="s">
        <v>794</v>
      </c>
      <c r="B181" s="88">
        <v>45126</v>
      </c>
      <c r="C181" t="s">
        <v>963</v>
      </c>
      <c r="D181" t="s">
        <v>551</v>
      </c>
      <c r="E181" t="s">
        <v>16</v>
      </c>
      <c r="F181" t="s">
        <v>548</v>
      </c>
      <c r="G181" t="s">
        <v>960</v>
      </c>
      <c r="H181" t="s">
        <v>36</v>
      </c>
      <c r="I181" t="s">
        <v>152</v>
      </c>
      <c r="J181">
        <v>3</v>
      </c>
      <c r="K181">
        <v>2023</v>
      </c>
      <c r="L181" t="s">
        <v>1152</v>
      </c>
    </row>
    <row r="182" spans="1:12" x14ac:dyDescent="0.2">
      <c r="A182" t="s">
        <v>795</v>
      </c>
      <c r="B182" s="88">
        <v>45126</v>
      </c>
      <c r="C182" t="s">
        <v>963</v>
      </c>
      <c r="D182" t="s">
        <v>551</v>
      </c>
      <c r="E182" t="s">
        <v>16</v>
      </c>
      <c r="F182" t="s">
        <v>548</v>
      </c>
      <c r="G182" t="s">
        <v>960</v>
      </c>
      <c r="H182" t="s">
        <v>45</v>
      </c>
      <c r="I182" t="s">
        <v>152</v>
      </c>
      <c r="J182">
        <v>1</v>
      </c>
      <c r="K182">
        <v>2023</v>
      </c>
      <c r="L182" t="s">
        <v>1153</v>
      </c>
    </row>
    <row r="183" spans="1:12" x14ac:dyDescent="0.2">
      <c r="A183" t="s">
        <v>590</v>
      </c>
      <c r="B183" s="88">
        <v>45126</v>
      </c>
      <c r="C183" t="s">
        <v>963</v>
      </c>
      <c r="D183" t="s">
        <v>551</v>
      </c>
      <c r="E183" t="s">
        <v>16</v>
      </c>
      <c r="F183" t="s">
        <v>548</v>
      </c>
      <c r="G183" t="s">
        <v>960</v>
      </c>
      <c r="H183" t="s">
        <v>45</v>
      </c>
      <c r="I183" t="s">
        <v>152</v>
      </c>
      <c r="J183">
        <v>2</v>
      </c>
      <c r="K183">
        <v>2023</v>
      </c>
      <c r="L183" t="s">
        <v>1154</v>
      </c>
    </row>
    <row r="184" spans="1:12" x14ac:dyDescent="0.2">
      <c r="A184" t="s">
        <v>796</v>
      </c>
      <c r="B184" s="88">
        <v>45126</v>
      </c>
      <c r="C184" t="s">
        <v>963</v>
      </c>
      <c r="D184" t="s">
        <v>551</v>
      </c>
      <c r="E184" t="s">
        <v>16</v>
      </c>
      <c r="F184" t="s">
        <v>548</v>
      </c>
      <c r="G184" t="s">
        <v>960</v>
      </c>
      <c r="H184" t="s">
        <v>45</v>
      </c>
      <c r="I184" t="s">
        <v>152</v>
      </c>
      <c r="J184">
        <v>3</v>
      </c>
      <c r="K184">
        <v>2023</v>
      </c>
      <c r="L184" t="s">
        <v>1155</v>
      </c>
    </row>
    <row r="185" spans="1:12" x14ac:dyDescent="0.2">
      <c r="A185" t="s">
        <v>797</v>
      </c>
      <c r="B185" s="88">
        <v>45124</v>
      </c>
      <c r="C185" t="s">
        <v>963</v>
      </c>
      <c r="D185" t="s">
        <v>8</v>
      </c>
      <c r="E185" t="s">
        <v>9</v>
      </c>
      <c r="F185" t="s">
        <v>545</v>
      </c>
      <c r="G185" t="s">
        <v>960</v>
      </c>
      <c r="H185" t="s">
        <v>43</v>
      </c>
      <c r="I185" t="s">
        <v>152</v>
      </c>
      <c r="J185">
        <v>1</v>
      </c>
      <c r="K185">
        <v>2023</v>
      </c>
      <c r="L185" t="s">
        <v>1156</v>
      </c>
    </row>
    <row r="186" spans="1:12" x14ac:dyDescent="0.2">
      <c r="A186" t="s">
        <v>606</v>
      </c>
      <c r="B186" s="88">
        <v>45124</v>
      </c>
      <c r="C186" t="s">
        <v>963</v>
      </c>
      <c r="D186" t="s">
        <v>8</v>
      </c>
      <c r="E186" t="s">
        <v>9</v>
      </c>
      <c r="F186" t="s">
        <v>545</v>
      </c>
      <c r="G186" t="s">
        <v>960</v>
      </c>
      <c r="H186" t="s">
        <v>43</v>
      </c>
      <c r="I186" t="s">
        <v>152</v>
      </c>
      <c r="J186">
        <v>2</v>
      </c>
      <c r="K186">
        <v>2023</v>
      </c>
      <c r="L186" t="s">
        <v>1157</v>
      </c>
    </row>
    <row r="187" spans="1:12" x14ac:dyDescent="0.2">
      <c r="A187" t="s">
        <v>798</v>
      </c>
      <c r="B187" s="88">
        <v>45124</v>
      </c>
      <c r="C187" t="s">
        <v>963</v>
      </c>
      <c r="D187" t="s">
        <v>8</v>
      </c>
      <c r="E187" t="s">
        <v>9</v>
      </c>
      <c r="F187" t="s">
        <v>545</v>
      </c>
      <c r="G187" t="s">
        <v>960</v>
      </c>
      <c r="H187" t="s">
        <v>43</v>
      </c>
      <c r="I187" t="s">
        <v>152</v>
      </c>
      <c r="J187">
        <v>3</v>
      </c>
      <c r="K187">
        <v>2023</v>
      </c>
      <c r="L187" t="s">
        <v>1158</v>
      </c>
    </row>
    <row r="188" spans="1:12" x14ac:dyDescent="0.2">
      <c r="A188" t="s">
        <v>799</v>
      </c>
      <c r="B188" s="88">
        <v>45124</v>
      </c>
      <c r="C188" t="s">
        <v>963</v>
      </c>
      <c r="D188" t="s">
        <v>8</v>
      </c>
      <c r="E188" t="s">
        <v>9</v>
      </c>
      <c r="F188" t="s">
        <v>545</v>
      </c>
      <c r="G188" t="s">
        <v>960</v>
      </c>
      <c r="H188" t="s">
        <v>74</v>
      </c>
      <c r="I188" t="s">
        <v>152</v>
      </c>
      <c r="J188">
        <v>1</v>
      </c>
      <c r="K188">
        <v>2023</v>
      </c>
      <c r="L188" t="s">
        <v>1159</v>
      </c>
    </row>
    <row r="189" spans="1:12" x14ac:dyDescent="0.2">
      <c r="A189" t="s">
        <v>613</v>
      </c>
      <c r="B189" s="88">
        <v>45124</v>
      </c>
      <c r="C189" t="s">
        <v>963</v>
      </c>
      <c r="D189" t="s">
        <v>8</v>
      </c>
      <c r="E189" t="s">
        <v>9</v>
      </c>
      <c r="F189" t="s">
        <v>545</v>
      </c>
      <c r="G189" t="s">
        <v>960</v>
      </c>
      <c r="H189" t="s">
        <v>74</v>
      </c>
      <c r="I189" t="s">
        <v>152</v>
      </c>
      <c r="J189">
        <v>2</v>
      </c>
      <c r="K189">
        <v>2023</v>
      </c>
      <c r="L189" t="s">
        <v>1160</v>
      </c>
    </row>
    <row r="190" spans="1:12" x14ac:dyDescent="0.2">
      <c r="A190" t="s">
        <v>800</v>
      </c>
      <c r="B190" s="88">
        <v>45124</v>
      </c>
      <c r="C190" t="s">
        <v>963</v>
      </c>
      <c r="D190" t="s">
        <v>8</v>
      </c>
      <c r="E190" t="s">
        <v>9</v>
      </c>
      <c r="F190" t="s">
        <v>545</v>
      </c>
      <c r="G190" t="s">
        <v>960</v>
      </c>
      <c r="H190" t="s">
        <v>74</v>
      </c>
      <c r="I190" t="s">
        <v>152</v>
      </c>
      <c r="J190">
        <v>3</v>
      </c>
      <c r="K190">
        <v>2023</v>
      </c>
      <c r="L190" t="s">
        <v>1161</v>
      </c>
    </row>
    <row r="191" spans="1:12" x14ac:dyDescent="0.2">
      <c r="A191" t="s">
        <v>801</v>
      </c>
      <c r="B191" s="88">
        <v>45124</v>
      </c>
      <c r="C191" t="s">
        <v>963</v>
      </c>
      <c r="D191" t="s">
        <v>8</v>
      </c>
      <c r="E191" t="s">
        <v>9</v>
      </c>
      <c r="F191" t="s">
        <v>545</v>
      </c>
      <c r="G191" t="s">
        <v>960</v>
      </c>
      <c r="H191" t="s">
        <v>51</v>
      </c>
      <c r="I191" t="s">
        <v>152</v>
      </c>
      <c r="J191">
        <v>1</v>
      </c>
      <c r="K191">
        <v>2023</v>
      </c>
      <c r="L191" t="s">
        <v>1162</v>
      </c>
    </row>
    <row r="192" spans="1:12" x14ac:dyDescent="0.2">
      <c r="A192" t="s">
        <v>622</v>
      </c>
      <c r="B192" s="88">
        <v>45124</v>
      </c>
      <c r="C192" t="s">
        <v>963</v>
      </c>
      <c r="D192" t="s">
        <v>8</v>
      </c>
      <c r="E192" t="s">
        <v>9</v>
      </c>
      <c r="F192" t="s">
        <v>545</v>
      </c>
      <c r="G192" t="s">
        <v>960</v>
      </c>
      <c r="H192" t="s">
        <v>51</v>
      </c>
      <c r="I192" t="s">
        <v>152</v>
      </c>
      <c r="J192">
        <v>2</v>
      </c>
      <c r="K192">
        <v>2023</v>
      </c>
      <c r="L192" t="s">
        <v>1163</v>
      </c>
    </row>
    <row r="193" spans="1:12" x14ac:dyDescent="0.2">
      <c r="A193" t="s">
        <v>802</v>
      </c>
      <c r="B193" s="88">
        <v>45124</v>
      </c>
      <c r="C193" t="s">
        <v>963</v>
      </c>
      <c r="D193" t="s">
        <v>8</v>
      </c>
      <c r="E193" t="s">
        <v>9</v>
      </c>
      <c r="F193" t="s">
        <v>545</v>
      </c>
      <c r="G193" t="s">
        <v>960</v>
      </c>
      <c r="H193" t="s">
        <v>51</v>
      </c>
      <c r="I193" t="s">
        <v>152</v>
      </c>
      <c r="J193">
        <v>3</v>
      </c>
      <c r="K193">
        <v>2023</v>
      </c>
      <c r="L193" t="s">
        <v>1164</v>
      </c>
    </row>
    <row r="194" spans="1:12" x14ac:dyDescent="0.2">
      <c r="A194" t="s">
        <v>803</v>
      </c>
      <c r="B194" s="88">
        <v>45124</v>
      </c>
      <c r="C194" t="s">
        <v>963</v>
      </c>
      <c r="D194" t="s">
        <v>8</v>
      </c>
      <c r="E194" t="s">
        <v>9</v>
      </c>
      <c r="F194" t="s">
        <v>545</v>
      </c>
      <c r="G194" t="s">
        <v>960</v>
      </c>
      <c r="H194" t="s">
        <v>60</v>
      </c>
      <c r="I194" t="s">
        <v>152</v>
      </c>
      <c r="J194">
        <v>1</v>
      </c>
      <c r="K194">
        <v>2023</v>
      </c>
      <c r="L194" t="s">
        <v>1165</v>
      </c>
    </row>
    <row r="195" spans="1:12" x14ac:dyDescent="0.2">
      <c r="A195" t="s">
        <v>630</v>
      </c>
      <c r="B195" s="88">
        <v>45124</v>
      </c>
      <c r="C195" t="s">
        <v>963</v>
      </c>
      <c r="D195" t="s">
        <v>8</v>
      </c>
      <c r="E195" t="s">
        <v>9</v>
      </c>
      <c r="F195" t="s">
        <v>545</v>
      </c>
      <c r="G195" t="s">
        <v>960</v>
      </c>
      <c r="H195" t="s">
        <v>60</v>
      </c>
      <c r="I195" t="s">
        <v>152</v>
      </c>
      <c r="J195">
        <v>2</v>
      </c>
      <c r="K195">
        <v>2023</v>
      </c>
      <c r="L195" t="s">
        <v>1166</v>
      </c>
    </row>
    <row r="196" spans="1:12" x14ac:dyDescent="0.2">
      <c r="A196" t="s">
        <v>804</v>
      </c>
      <c r="B196" s="88">
        <v>45124</v>
      </c>
      <c r="C196" t="s">
        <v>963</v>
      </c>
      <c r="D196" t="s">
        <v>8</v>
      </c>
      <c r="E196" t="s">
        <v>9</v>
      </c>
      <c r="F196" t="s">
        <v>545</v>
      </c>
      <c r="G196" t="s">
        <v>960</v>
      </c>
      <c r="H196" t="s">
        <v>60</v>
      </c>
      <c r="I196" t="s">
        <v>152</v>
      </c>
      <c r="J196">
        <v>3</v>
      </c>
      <c r="K196">
        <v>2023</v>
      </c>
      <c r="L196" t="s">
        <v>1167</v>
      </c>
    </row>
    <row r="197" spans="1:12" x14ac:dyDescent="0.2">
      <c r="A197" t="s">
        <v>805</v>
      </c>
      <c r="B197" s="88">
        <v>45124</v>
      </c>
      <c r="C197" t="s">
        <v>963</v>
      </c>
      <c r="D197" t="s">
        <v>8</v>
      </c>
      <c r="E197" t="s">
        <v>9</v>
      </c>
      <c r="F197" t="s">
        <v>545</v>
      </c>
      <c r="G197" t="s">
        <v>960</v>
      </c>
      <c r="H197" t="s">
        <v>36</v>
      </c>
      <c r="I197" t="s">
        <v>152</v>
      </c>
      <c r="J197">
        <v>1</v>
      </c>
      <c r="K197">
        <v>2023</v>
      </c>
      <c r="L197" t="s">
        <v>1168</v>
      </c>
    </row>
    <row r="198" spans="1:12" x14ac:dyDescent="0.2">
      <c r="A198" t="s">
        <v>634</v>
      </c>
      <c r="B198" s="88">
        <v>45124</v>
      </c>
      <c r="C198" t="s">
        <v>963</v>
      </c>
      <c r="D198" t="s">
        <v>8</v>
      </c>
      <c r="E198" t="s">
        <v>9</v>
      </c>
      <c r="F198" t="s">
        <v>545</v>
      </c>
      <c r="G198" t="s">
        <v>960</v>
      </c>
      <c r="H198" t="s">
        <v>36</v>
      </c>
      <c r="I198" t="s">
        <v>152</v>
      </c>
      <c r="J198">
        <v>2</v>
      </c>
      <c r="K198">
        <v>2023</v>
      </c>
      <c r="L198" t="s">
        <v>1169</v>
      </c>
    </row>
    <row r="199" spans="1:12" x14ac:dyDescent="0.2">
      <c r="A199" t="s">
        <v>806</v>
      </c>
      <c r="B199" s="88">
        <v>45124</v>
      </c>
      <c r="C199" t="s">
        <v>963</v>
      </c>
      <c r="D199" t="s">
        <v>8</v>
      </c>
      <c r="E199" t="s">
        <v>9</v>
      </c>
      <c r="F199" t="s">
        <v>545</v>
      </c>
      <c r="G199" t="s">
        <v>960</v>
      </c>
      <c r="H199" t="s">
        <v>36</v>
      </c>
      <c r="I199" t="s">
        <v>152</v>
      </c>
      <c r="J199">
        <v>3</v>
      </c>
      <c r="K199">
        <v>2023</v>
      </c>
      <c r="L199" t="s">
        <v>1170</v>
      </c>
    </row>
    <row r="200" spans="1:12" x14ac:dyDescent="0.2">
      <c r="A200" t="s">
        <v>807</v>
      </c>
      <c r="B200" s="88">
        <v>45124</v>
      </c>
      <c r="C200" t="s">
        <v>963</v>
      </c>
      <c r="D200" t="s">
        <v>8</v>
      </c>
      <c r="E200" t="s">
        <v>9</v>
      </c>
      <c r="F200" t="s">
        <v>545</v>
      </c>
      <c r="G200" t="s">
        <v>960</v>
      </c>
      <c r="H200" t="s">
        <v>45</v>
      </c>
      <c r="I200" t="s">
        <v>152</v>
      </c>
      <c r="J200">
        <v>1</v>
      </c>
      <c r="K200">
        <v>2023</v>
      </c>
      <c r="L200" t="s">
        <v>1171</v>
      </c>
    </row>
    <row r="201" spans="1:12" x14ac:dyDescent="0.2">
      <c r="A201" t="s">
        <v>638</v>
      </c>
      <c r="B201" s="88">
        <v>45124</v>
      </c>
      <c r="C201" t="s">
        <v>963</v>
      </c>
      <c r="D201" t="s">
        <v>8</v>
      </c>
      <c r="E201" t="s">
        <v>9</v>
      </c>
      <c r="F201" t="s">
        <v>545</v>
      </c>
      <c r="G201" t="s">
        <v>960</v>
      </c>
      <c r="H201" t="s">
        <v>45</v>
      </c>
      <c r="I201" t="s">
        <v>152</v>
      </c>
      <c r="J201">
        <v>2</v>
      </c>
      <c r="K201">
        <v>2023</v>
      </c>
      <c r="L201" t="s">
        <v>1172</v>
      </c>
    </row>
    <row r="202" spans="1:12" x14ac:dyDescent="0.2">
      <c r="A202" t="s">
        <v>808</v>
      </c>
      <c r="B202" s="88">
        <v>45124</v>
      </c>
      <c r="C202" t="s">
        <v>963</v>
      </c>
      <c r="D202" t="s">
        <v>8</v>
      </c>
      <c r="E202" t="s">
        <v>9</v>
      </c>
      <c r="F202" t="s">
        <v>545</v>
      </c>
      <c r="G202" t="s">
        <v>960</v>
      </c>
      <c r="H202" t="s">
        <v>45</v>
      </c>
      <c r="I202" t="s">
        <v>152</v>
      </c>
      <c r="J202">
        <v>3</v>
      </c>
      <c r="K202">
        <v>2023</v>
      </c>
      <c r="L202" t="s">
        <v>1173</v>
      </c>
    </row>
    <row r="203" spans="1:12" x14ac:dyDescent="0.2">
      <c r="A203" t="s">
        <v>811</v>
      </c>
      <c r="B203" s="88">
        <v>45124</v>
      </c>
      <c r="C203" t="s">
        <v>963</v>
      </c>
      <c r="D203" t="s">
        <v>8</v>
      </c>
      <c r="E203" t="s">
        <v>9</v>
      </c>
      <c r="F203" t="s">
        <v>545</v>
      </c>
      <c r="G203" t="s">
        <v>960</v>
      </c>
      <c r="H203" t="s">
        <v>62</v>
      </c>
      <c r="I203" t="s">
        <v>152</v>
      </c>
      <c r="J203">
        <v>1</v>
      </c>
      <c r="K203">
        <v>2023</v>
      </c>
      <c r="L203" t="s">
        <v>1174</v>
      </c>
    </row>
    <row r="204" spans="1:12" x14ac:dyDescent="0.2">
      <c r="A204" t="s">
        <v>694</v>
      </c>
      <c r="B204" s="88">
        <v>45124</v>
      </c>
      <c r="C204" t="s">
        <v>963</v>
      </c>
      <c r="D204" t="s">
        <v>8</v>
      </c>
      <c r="E204" t="s">
        <v>9</v>
      </c>
      <c r="F204" t="s">
        <v>545</v>
      </c>
      <c r="G204" t="s">
        <v>960</v>
      </c>
      <c r="H204" t="s">
        <v>62</v>
      </c>
      <c r="I204" t="s">
        <v>152</v>
      </c>
      <c r="J204">
        <v>2</v>
      </c>
      <c r="K204">
        <v>2023</v>
      </c>
      <c r="L204" t="s">
        <v>1175</v>
      </c>
    </row>
    <row r="205" spans="1:12" x14ac:dyDescent="0.2">
      <c r="A205" t="s">
        <v>812</v>
      </c>
      <c r="B205" s="88">
        <v>45124</v>
      </c>
      <c r="C205" t="s">
        <v>963</v>
      </c>
      <c r="D205" t="s">
        <v>8</v>
      </c>
      <c r="E205" t="s">
        <v>9</v>
      </c>
      <c r="F205" t="s">
        <v>545</v>
      </c>
      <c r="G205" t="s">
        <v>960</v>
      </c>
      <c r="H205" t="s">
        <v>62</v>
      </c>
      <c r="I205" t="s">
        <v>152</v>
      </c>
      <c r="J205">
        <v>3</v>
      </c>
      <c r="K205">
        <v>2023</v>
      </c>
      <c r="L205" t="s">
        <v>1176</v>
      </c>
    </row>
    <row r="206" spans="1:12" x14ac:dyDescent="0.2">
      <c r="A206" t="s">
        <v>815</v>
      </c>
      <c r="B206" s="88">
        <v>45124</v>
      </c>
      <c r="C206" t="s">
        <v>963</v>
      </c>
      <c r="D206" t="s">
        <v>90</v>
      </c>
      <c r="E206" t="s">
        <v>96</v>
      </c>
      <c r="F206" t="s">
        <v>546</v>
      </c>
      <c r="G206" t="s">
        <v>961</v>
      </c>
      <c r="H206" t="s">
        <v>51</v>
      </c>
      <c r="I206" t="s">
        <v>152</v>
      </c>
      <c r="J206">
        <v>1</v>
      </c>
      <c r="K206">
        <v>2023</v>
      </c>
      <c r="L206" t="s">
        <v>1177</v>
      </c>
    </row>
    <row r="207" spans="1:12" x14ac:dyDescent="0.2">
      <c r="A207" t="s">
        <v>705</v>
      </c>
      <c r="B207" s="88">
        <v>45124</v>
      </c>
      <c r="C207" t="s">
        <v>963</v>
      </c>
      <c r="D207" t="s">
        <v>90</v>
      </c>
      <c r="E207" t="s">
        <v>96</v>
      </c>
      <c r="F207" t="s">
        <v>546</v>
      </c>
      <c r="G207" t="s">
        <v>961</v>
      </c>
      <c r="H207" t="s">
        <v>51</v>
      </c>
      <c r="I207" t="s">
        <v>152</v>
      </c>
      <c r="J207">
        <v>2</v>
      </c>
      <c r="K207">
        <v>2023</v>
      </c>
      <c r="L207" t="s">
        <v>1178</v>
      </c>
    </row>
    <row r="208" spans="1:12" x14ac:dyDescent="0.2">
      <c r="A208" t="s">
        <v>816</v>
      </c>
      <c r="B208" s="88">
        <v>45124</v>
      </c>
      <c r="C208" t="s">
        <v>963</v>
      </c>
      <c r="D208" t="s">
        <v>90</v>
      </c>
      <c r="E208" t="s">
        <v>96</v>
      </c>
      <c r="F208" t="s">
        <v>546</v>
      </c>
      <c r="G208" t="s">
        <v>961</v>
      </c>
      <c r="H208" t="s">
        <v>51</v>
      </c>
      <c r="I208" t="s">
        <v>152</v>
      </c>
      <c r="J208">
        <v>3</v>
      </c>
      <c r="K208">
        <v>2023</v>
      </c>
      <c r="L208" t="s">
        <v>1179</v>
      </c>
    </row>
    <row r="209" spans="1:12" x14ac:dyDescent="0.2">
      <c r="A209" t="s">
        <v>690</v>
      </c>
      <c r="B209" s="88">
        <v>45124</v>
      </c>
      <c r="C209" t="s">
        <v>963</v>
      </c>
      <c r="D209" t="s">
        <v>90</v>
      </c>
      <c r="E209" t="s">
        <v>96</v>
      </c>
      <c r="F209" t="s">
        <v>546</v>
      </c>
      <c r="G209" t="s">
        <v>961</v>
      </c>
      <c r="H209" t="s">
        <v>60</v>
      </c>
      <c r="I209" t="s">
        <v>152</v>
      </c>
      <c r="J209">
        <v>1</v>
      </c>
      <c r="K209">
        <v>2023</v>
      </c>
      <c r="L209" t="s">
        <v>1180</v>
      </c>
    </row>
    <row r="210" spans="1:12" x14ac:dyDescent="0.2">
      <c r="A210" t="s">
        <v>642</v>
      </c>
      <c r="B210" s="88">
        <v>45124</v>
      </c>
      <c r="C210" t="s">
        <v>963</v>
      </c>
      <c r="D210" t="s">
        <v>90</v>
      </c>
      <c r="E210" t="s">
        <v>96</v>
      </c>
      <c r="F210" t="s">
        <v>546</v>
      </c>
      <c r="G210" t="s">
        <v>961</v>
      </c>
      <c r="H210" t="s">
        <v>60</v>
      </c>
      <c r="I210" t="s">
        <v>152</v>
      </c>
      <c r="J210">
        <v>2</v>
      </c>
      <c r="K210">
        <v>2023</v>
      </c>
      <c r="L210" t="s">
        <v>1181</v>
      </c>
    </row>
    <row r="211" spans="1:12" x14ac:dyDescent="0.2">
      <c r="A211" t="s">
        <v>691</v>
      </c>
      <c r="B211" s="88">
        <v>45124</v>
      </c>
      <c r="C211" t="s">
        <v>963</v>
      </c>
      <c r="D211" t="s">
        <v>90</v>
      </c>
      <c r="E211" t="s">
        <v>96</v>
      </c>
      <c r="F211" t="s">
        <v>546</v>
      </c>
      <c r="G211" t="s">
        <v>961</v>
      </c>
      <c r="H211" t="s">
        <v>60</v>
      </c>
      <c r="I211" t="s">
        <v>152</v>
      </c>
      <c r="J211">
        <v>3</v>
      </c>
      <c r="K211">
        <v>2023</v>
      </c>
      <c r="L211" t="s">
        <v>1182</v>
      </c>
    </row>
    <row r="212" spans="1:12" x14ac:dyDescent="0.2">
      <c r="A212" t="s">
        <v>809</v>
      </c>
      <c r="B212" s="88">
        <v>45124</v>
      </c>
      <c r="C212" t="s">
        <v>963</v>
      </c>
      <c r="D212" t="s">
        <v>90</v>
      </c>
      <c r="E212" t="s">
        <v>96</v>
      </c>
      <c r="F212" t="s">
        <v>546</v>
      </c>
      <c r="G212" t="s">
        <v>961</v>
      </c>
      <c r="H212" t="s">
        <v>45</v>
      </c>
      <c r="I212" t="s">
        <v>152</v>
      </c>
      <c r="J212">
        <v>1</v>
      </c>
      <c r="K212">
        <v>2023</v>
      </c>
      <c r="L212" t="s">
        <v>1183</v>
      </c>
    </row>
    <row r="213" spans="1:12" x14ac:dyDescent="0.2">
      <c r="A213" t="s">
        <v>646</v>
      </c>
      <c r="B213" s="88">
        <v>45124</v>
      </c>
      <c r="C213" t="s">
        <v>963</v>
      </c>
      <c r="D213" t="s">
        <v>90</v>
      </c>
      <c r="E213" t="s">
        <v>96</v>
      </c>
      <c r="F213" t="s">
        <v>546</v>
      </c>
      <c r="G213" t="s">
        <v>961</v>
      </c>
      <c r="H213" t="s">
        <v>45</v>
      </c>
      <c r="I213" t="s">
        <v>152</v>
      </c>
      <c r="J213">
        <v>2</v>
      </c>
      <c r="K213">
        <v>2023</v>
      </c>
      <c r="L213" t="s">
        <v>1184</v>
      </c>
    </row>
    <row r="214" spans="1:12" x14ac:dyDescent="0.2">
      <c r="A214" t="s">
        <v>810</v>
      </c>
      <c r="B214" s="88">
        <v>45124</v>
      </c>
      <c r="C214" t="s">
        <v>963</v>
      </c>
      <c r="D214" t="s">
        <v>90</v>
      </c>
      <c r="E214" t="s">
        <v>96</v>
      </c>
      <c r="F214" t="s">
        <v>546</v>
      </c>
      <c r="G214" t="s">
        <v>961</v>
      </c>
      <c r="H214" t="s">
        <v>45</v>
      </c>
      <c r="I214" t="s">
        <v>152</v>
      </c>
      <c r="J214">
        <v>3</v>
      </c>
      <c r="K214">
        <v>2023</v>
      </c>
      <c r="L214" t="s">
        <v>1185</v>
      </c>
    </row>
    <row r="215" spans="1:12" x14ac:dyDescent="0.2">
      <c r="A215" t="s">
        <v>813</v>
      </c>
      <c r="B215" s="88">
        <v>45124</v>
      </c>
      <c r="C215" t="s">
        <v>963</v>
      </c>
      <c r="D215" t="s">
        <v>90</v>
      </c>
      <c r="E215" t="s">
        <v>96</v>
      </c>
      <c r="F215" t="s">
        <v>546</v>
      </c>
      <c r="G215" t="s">
        <v>961</v>
      </c>
      <c r="H215" t="s">
        <v>62</v>
      </c>
      <c r="I215" t="s">
        <v>152</v>
      </c>
      <c r="J215">
        <v>1</v>
      </c>
      <c r="K215">
        <v>2023</v>
      </c>
      <c r="L215" t="s">
        <v>1186</v>
      </c>
    </row>
    <row r="216" spans="1:12" x14ac:dyDescent="0.2">
      <c r="A216" t="s">
        <v>698</v>
      </c>
      <c r="B216" s="88">
        <v>45124</v>
      </c>
      <c r="C216" t="s">
        <v>963</v>
      </c>
      <c r="D216" t="s">
        <v>90</v>
      </c>
      <c r="E216" t="s">
        <v>96</v>
      </c>
      <c r="F216" t="s">
        <v>546</v>
      </c>
      <c r="G216" t="s">
        <v>961</v>
      </c>
      <c r="H216" t="s">
        <v>62</v>
      </c>
      <c r="I216" t="s">
        <v>152</v>
      </c>
      <c r="J216">
        <v>2</v>
      </c>
      <c r="K216">
        <v>2023</v>
      </c>
      <c r="L216" t="s">
        <v>1187</v>
      </c>
    </row>
    <row r="217" spans="1:12" x14ac:dyDescent="0.2">
      <c r="A217" t="s">
        <v>814</v>
      </c>
      <c r="B217" s="88">
        <v>45124</v>
      </c>
      <c r="C217" t="s">
        <v>963</v>
      </c>
      <c r="D217" t="s">
        <v>90</v>
      </c>
      <c r="E217" t="s">
        <v>96</v>
      </c>
      <c r="F217" t="s">
        <v>546</v>
      </c>
      <c r="G217" t="s">
        <v>961</v>
      </c>
      <c r="H217" t="s">
        <v>62</v>
      </c>
      <c r="I217" t="s">
        <v>152</v>
      </c>
      <c r="J217">
        <v>3</v>
      </c>
      <c r="K217">
        <v>2023</v>
      </c>
      <c r="L217" t="s">
        <v>1188</v>
      </c>
    </row>
    <row r="218" spans="1:12" x14ac:dyDescent="0.2">
      <c r="A218" t="s">
        <v>817</v>
      </c>
      <c r="B218" s="88">
        <v>45126</v>
      </c>
      <c r="C218" t="s">
        <v>963</v>
      </c>
      <c r="D218" t="s">
        <v>549</v>
      </c>
      <c r="E218" t="s">
        <v>22</v>
      </c>
      <c r="F218" t="s">
        <v>547</v>
      </c>
      <c r="G218" t="s">
        <v>961</v>
      </c>
      <c r="H218" t="s">
        <v>43</v>
      </c>
      <c r="I218" t="s">
        <v>152</v>
      </c>
      <c r="J218">
        <v>1</v>
      </c>
      <c r="K218">
        <v>2023</v>
      </c>
      <c r="L218" t="s">
        <v>1189</v>
      </c>
    </row>
    <row r="219" spans="1:12" x14ac:dyDescent="0.2">
      <c r="A219" t="s">
        <v>723</v>
      </c>
      <c r="B219" s="88">
        <v>45126</v>
      </c>
      <c r="C219" t="s">
        <v>963</v>
      </c>
      <c r="D219" t="s">
        <v>549</v>
      </c>
      <c r="E219" t="s">
        <v>22</v>
      </c>
      <c r="F219" t="s">
        <v>547</v>
      </c>
      <c r="G219" t="s">
        <v>961</v>
      </c>
      <c r="H219" t="s">
        <v>43</v>
      </c>
      <c r="I219" t="s">
        <v>152</v>
      </c>
      <c r="J219">
        <v>2</v>
      </c>
      <c r="K219">
        <v>2023</v>
      </c>
      <c r="L219" t="s">
        <v>1190</v>
      </c>
    </row>
    <row r="220" spans="1:12" x14ac:dyDescent="0.2">
      <c r="A220" t="s">
        <v>818</v>
      </c>
      <c r="B220" s="88">
        <v>45126</v>
      </c>
      <c r="C220" t="s">
        <v>963</v>
      </c>
      <c r="D220" t="s">
        <v>549</v>
      </c>
      <c r="E220" t="s">
        <v>22</v>
      </c>
      <c r="F220" t="s">
        <v>547</v>
      </c>
      <c r="G220" t="s">
        <v>961</v>
      </c>
      <c r="H220" t="s">
        <v>43</v>
      </c>
      <c r="I220" t="s">
        <v>152</v>
      </c>
      <c r="J220">
        <v>3</v>
      </c>
      <c r="K220">
        <v>2023</v>
      </c>
      <c r="L220" t="s">
        <v>1191</v>
      </c>
    </row>
    <row r="221" spans="1:12" x14ac:dyDescent="0.2">
      <c r="A221" t="s">
        <v>819</v>
      </c>
      <c r="B221" s="88">
        <v>45126</v>
      </c>
      <c r="C221" t="s">
        <v>963</v>
      </c>
      <c r="D221" t="s">
        <v>549</v>
      </c>
      <c r="E221" t="s">
        <v>22</v>
      </c>
      <c r="F221" t="s">
        <v>547</v>
      </c>
      <c r="G221" t="s">
        <v>961</v>
      </c>
      <c r="H221" t="s">
        <v>74</v>
      </c>
      <c r="I221" t="s">
        <v>152</v>
      </c>
      <c r="J221">
        <v>1</v>
      </c>
      <c r="K221">
        <v>2023</v>
      </c>
      <c r="L221" t="s">
        <v>1192</v>
      </c>
    </row>
    <row r="222" spans="1:12" x14ac:dyDescent="0.2">
      <c r="A222" t="s">
        <v>731</v>
      </c>
      <c r="B222" s="88">
        <v>45126</v>
      </c>
      <c r="C222" t="s">
        <v>963</v>
      </c>
      <c r="D222" t="s">
        <v>549</v>
      </c>
      <c r="E222" t="s">
        <v>22</v>
      </c>
      <c r="F222" t="s">
        <v>547</v>
      </c>
      <c r="G222" t="s">
        <v>961</v>
      </c>
      <c r="H222" t="s">
        <v>74</v>
      </c>
      <c r="I222" t="s">
        <v>152</v>
      </c>
      <c r="J222">
        <v>2</v>
      </c>
      <c r="K222">
        <v>2023</v>
      </c>
      <c r="L222" t="s">
        <v>1193</v>
      </c>
    </row>
    <row r="223" spans="1:12" x14ac:dyDescent="0.2">
      <c r="A223" t="s">
        <v>820</v>
      </c>
      <c r="B223" s="88">
        <v>45126</v>
      </c>
      <c r="C223" t="s">
        <v>963</v>
      </c>
      <c r="D223" t="s">
        <v>549</v>
      </c>
      <c r="E223" t="s">
        <v>22</v>
      </c>
      <c r="F223" t="s">
        <v>547</v>
      </c>
      <c r="G223" t="s">
        <v>961</v>
      </c>
      <c r="H223" t="s">
        <v>74</v>
      </c>
      <c r="I223" t="s">
        <v>152</v>
      </c>
      <c r="J223">
        <v>3</v>
      </c>
      <c r="K223">
        <v>2023</v>
      </c>
      <c r="L223" t="s">
        <v>1194</v>
      </c>
    </row>
    <row r="224" spans="1:12" x14ac:dyDescent="0.2">
      <c r="A224" t="s">
        <v>823</v>
      </c>
      <c r="B224" s="88">
        <v>45126</v>
      </c>
      <c r="C224" t="s">
        <v>963</v>
      </c>
      <c r="D224" t="s">
        <v>549</v>
      </c>
      <c r="E224" t="s">
        <v>22</v>
      </c>
      <c r="F224" t="s">
        <v>547</v>
      </c>
      <c r="G224" t="s">
        <v>961</v>
      </c>
      <c r="H224" t="s">
        <v>51</v>
      </c>
      <c r="I224" t="s">
        <v>152</v>
      </c>
      <c r="J224">
        <v>1</v>
      </c>
      <c r="K224">
        <v>2023</v>
      </c>
      <c r="L224" t="s">
        <v>1195</v>
      </c>
    </row>
    <row r="225" spans="1:12" x14ac:dyDescent="0.2">
      <c r="A225" t="s">
        <v>739</v>
      </c>
      <c r="B225" s="88">
        <v>45126</v>
      </c>
      <c r="C225" t="s">
        <v>963</v>
      </c>
      <c r="D225" t="s">
        <v>549</v>
      </c>
      <c r="E225" t="s">
        <v>22</v>
      </c>
      <c r="F225" t="s">
        <v>547</v>
      </c>
      <c r="G225" t="s">
        <v>961</v>
      </c>
      <c r="H225" t="s">
        <v>51</v>
      </c>
      <c r="I225" t="s">
        <v>152</v>
      </c>
      <c r="J225">
        <v>2</v>
      </c>
      <c r="K225">
        <v>2023</v>
      </c>
      <c r="L225" t="s">
        <v>1196</v>
      </c>
    </row>
    <row r="226" spans="1:12" x14ac:dyDescent="0.2">
      <c r="A226" t="s">
        <v>824</v>
      </c>
      <c r="B226" s="88">
        <v>45126</v>
      </c>
      <c r="C226" t="s">
        <v>963</v>
      </c>
      <c r="D226" t="s">
        <v>549</v>
      </c>
      <c r="E226" t="s">
        <v>22</v>
      </c>
      <c r="F226" t="s">
        <v>547</v>
      </c>
      <c r="G226" t="s">
        <v>961</v>
      </c>
      <c r="H226" t="s">
        <v>51</v>
      </c>
      <c r="I226" t="s">
        <v>152</v>
      </c>
      <c r="J226">
        <v>3</v>
      </c>
      <c r="K226">
        <v>2023</v>
      </c>
      <c r="L226" t="s">
        <v>1197</v>
      </c>
    </row>
    <row r="227" spans="1:12" x14ac:dyDescent="0.2">
      <c r="A227" t="s">
        <v>825</v>
      </c>
      <c r="B227" s="88">
        <v>45126</v>
      </c>
      <c r="C227" t="s">
        <v>963</v>
      </c>
      <c r="D227" t="s">
        <v>549</v>
      </c>
      <c r="E227" t="s">
        <v>22</v>
      </c>
      <c r="F227" t="s">
        <v>547</v>
      </c>
      <c r="G227" t="s">
        <v>961</v>
      </c>
      <c r="H227" t="s">
        <v>60</v>
      </c>
      <c r="I227" t="s">
        <v>152</v>
      </c>
      <c r="J227">
        <v>1</v>
      </c>
      <c r="K227">
        <v>2023</v>
      </c>
      <c r="L227" t="s">
        <v>1198</v>
      </c>
    </row>
    <row r="228" spans="1:12" x14ac:dyDescent="0.2">
      <c r="A228" t="s">
        <v>650</v>
      </c>
      <c r="B228" s="88">
        <v>45126</v>
      </c>
      <c r="C228" t="s">
        <v>963</v>
      </c>
      <c r="D228" t="s">
        <v>549</v>
      </c>
      <c r="E228" t="s">
        <v>22</v>
      </c>
      <c r="F228" t="s">
        <v>547</v>
      </c>
      <c r="G228" t="s">
        <v>961</v>
      </c>
      <c r="H228" t="s">
        <v>60</v>
      </c>
      <c r="I228" t="s">
        <v>152</v>
      </c>
      <c r="J228">
        <v>2</v>
      </c>
      <c r="K228">
        <v>2023</v>
      </c>
      <c r="L228" t="s">
        <v>1199</v>
      </c>
    </row>
    <row r="229" spans="1:12" x14ac:dyDescent="0.2">
      <c r="A229" t="s">
        <v>826</v>
      </c>
      <c r="B229" s="88">
        <v>45126</v>
      </c>
      <c r="C229" t="s">
        <v>963</v>
      </c>
      <c r="D229" t="s">
        <v>549</v>
      </c>
      <c r="E229" t="s">
        <v>22</v>
      </c>
      <c r="F229" t="s">
        <v>547</v>
      </c>
      <c r="G229" t="s">
        <v>961</v>
      </c>
      <c r="H229" t="s">
        <v>60</v>
      </c>
      <c r="I229" t="s">
        <v>152</v>
      </c>
      <c r="J229">
        <v>3</v>
      </c>
      <c r="K229">
        <v>2023</v>
      </c>
      <c r="L229" t="s">
        <v>1200</v>
      </c>
    </row>
    <row r="230" spans="1:12" x14ac:dyDescent="0.2">
      <c r="A230" t="s">
        <v>827</v>
      </c>
      <c r="B230" s="88">
        <v>45126</v>
      </c>
      <c r="C230" t="s">
        <v>963</v>
      </c>
      <c r="D230" t="s">
        <v>549</v>
      </c>
      <c r="E230" t="s">
        <v>22</v>
      </c>
      <c r="F230" t="s">
        <v>547</v>
      </c>
      <c r="G230" t="s">
        <v>961</v>
      </c>
      <c r="H230" t="s">
        <v>36</v>
      </c>
      <c r="I230" t="s">
        <v>152</v>
      </c>
      <c r="J230">
        <v>1</v>
      </c>
      <c r="K230">
        <v>2023</v>
      </c>
      <c r="L230" t="s">
        <v>1201</v>
      </c>
    </row>
    <row r="231" spans="1:12" x14ac:dyDescent="0.2">
      <c r="A231" t="s">
        <v>654</v>
      </c>
      <c r="B231" s="88">
        <v>45126</v>
      </c>
      <c r="C231" t="s">
        <v>963</v>
      </c>
      <c r="D231" t="s">
        <v>549</v>
      </c>
      <c r="E231" t="s">
        <v>22</v>
      </c>
      <c r="F231" t="s">
        <v>547</v>
      </c>
      <c r="G231" t="s">
        <v>961</v>
      </c>
      <c r="H231" t="s">
        <v>36</v>
      </c>
      <c r="I231" t="s">
        <v>152</v>
      </c>
      <c r="J231">
        <v>2</v>
      </c>
      <c r="K231">
        <v>2023</v>
      </c>
      <c r="L231" t="s">
        <v>1202</v>
      </c>
    </row>
    <row r="232" spans="1:12" x14ac:dyDescent="0.2">
      <c r="A232" t="s">
        <v>828</v>
      </c>
      <c r="B232" s="88">
        <v>45126</v>
      </c>
      <c r="C232" t="s">
        <v>963</v>
      </c>
      <c r="D232" t="s">
        <v>549</v>
      </c>
      <c r="E232" t="s">
        <v>22</v>
      </c>
      <c r="F232" t="s">
        <v>547</v>
      </c>
      <c r="G232" t="s">
        <v>961</v>
      </c>
      <c r="H232" t="s">
        <v>36</v>
      </c>
      <c r="I232" t="s">
        <v>152</v>
      </c>
      <c r="J232">
        <v>3</v>
      </c>
      <c r="K232">
        <v>2023</v>
      </c>
      <c r="L232" t="s">
        <v>1203</v>
      </c>
    </row>
    <row r="233" spans="1:12" x14ac:dyDescent="0.2">
      <c r="A233" t="s">
        <v>821</v>
      </c>
      <c r="B233" s="88">
        <v>45126</v>
      </c>
      <c r="C233" t="s">
        <v>963</v>
      </c>
      <c r="D233" t="s">
        <v>549</v>
      </c>
      <c r="E233" t="s">
        <v>22</v>
      </c>
      <c r="F233" t="s">
        <v>547</v>
      </c>
      <c r="G233" t="s">
        <v>961</v>
      </c>
      <c r="H233" t="s">
        <v>34</v>
      </c>
      <c r="I233" t="s">
        <v>152</v>
      </c>
      <c r="J233">
        <v>1</v>
      </c>
      <c r="K233">
        <v>2023</v>
      </c>
      <c r="L233" t="s">
        <v>1204</v>
      </c>
    </row>
    <row r="234" spans="1:12" x14ac:dyDescent="0.2">
      <c r="A234" t="s">
        <v>658</v>
      </c>
      <c r="B234" s="88">
        <v>45126</v>
      </c>
      <c r="C234" t="s">
        <v>963</v>
      </c>
      <c r="D234" t="s">
        <v>549</v>
      </c>
      <c r="E234" t="s">
        <v>22</v>
      </c>
      <c r="F234" t="s">
        <v>547</v>
      </c>
      <c r="G234" t="s">
        <v>961</v>
      </c>
      <c r="H234" t="s">
        <v>34</v>
      </c>
      <c r="I234" t="s">
        <v>152</v>
      </c>
      <c r="J234">
        <v>2</v>
      </c>
      <c r="K234">
        <v>2023</v>
      </c>
      <c r="L234" t="s">
        <v>1205</v>
      </c>
    </row>
    <row r="235" spans="1:12" x14ac:dyDescent="0.2">
      <c r="A235" t="s">
        <v>822</v>
      </c>
      <c r="B235" s="88">
        <v>45126</v>
      </c>
      <c r="C235" t="s">
        <v>963</v>
      </c>
      <c r="D235" t="s">
        <v>549</v>
      </c>
      <c r="E235" t="s">
        <v>22</v>
      </c>
      <c r="F235" t="s">
        <v>547</v>
      </c>
      <c r="G235" t="s">
        <v>961</v>
      </c>
      <c r="H235" t="s">
        <v>34</v>
      </c>
      <c r="I235" t="s">
        <v>152</v>
      </c>
      <c r="J235">
        <v>3</v>
      </c>
      <c r="K235">
        <v>2023</v>
      </c>
      <c r="L235" t="s">
        <v>1206</v>
      </c>
    </row>
    <row r="236" spans="1:12" x14ac:dyDescent="0.2">
      <c r="A236" t="s">
        <v>833</v>
      </c>
      <c r="B236" s="88">
        <v>45128</v>
      </c>
      <c r="C236" t="s">
        <v>963</v>
      </c>
      <c r="D236" t="s">
        <v>552</v>
      </c>
      <c r="E236" t="s">
        <v>95</v>
      </c>
      <c r="F236" t="s">
        <v>543</v>
      </c>
      <c r="G236" t="s">
        <v>960</v>
      </c>
      <c r="H236" t="s">
        <v>43</v>
      </c>
      <c r="I236" t="s">
        <v>152</v>
      </c>
      <c r="J236">
        <v>1</v>
      </c>
      <c r="K236">
        <v>2023</v>
      </c>
      <c r="L236" t="s">
        <v>1207</v>
      </c>
    </row>
    <row r="237" spans="1:12" x14ac:dyDescent="0.2">
      <c r="A237" t="s">
        <v>758</v>
      </c>
      <c r="B237" s="88">
        <v>45128</v>
      </c>
      <c r="C237" t="s">
        <v>963</v>
      </c>
      <c r="D237" t="s">
        <v>552</v>
      </c>
      <c r="E237" t="s">
        <v>95</v>
      </c>
      <c r="F237" t="s">
        <v>543</v>
      </c>
      <c r="G237" t="s">
        <v>960</v>
      </c>
      <c r="H237" t="s">
        <v>43</v>
      </c>
      <c r="I237" t="s">
        <v>152</v>
      </c>
      <c r="J237">
        <v>2</v>
      </c>
      <c r="K237">
        <v>2023</v>
      </c>
      <c r="L237" t="s">
        <v>1208</v>
      </c>
    </row>
    <row r="238" spans="1:12" x14ac:dyDescent="0.2">
      <c r="A238" t="s">
        <v>834</v>
      </c>
      <c r="B238" s="88">
        <v>45128</v>
      </c>
      <c r="C238" t="s">
        <v>963</v>
      </c>
      <c r="D238" t="s">
        <v>552</v>
      </c>
      <c r="E238" t="s">
        <v>95</v>
      </c>
      <c r="F238" t="s">
        <v>543</v>
      </c>
      <c r="G238" t="s">
        <v>960</v>
      </c>
      <c r="H238" t="s">
        <v>43</v>
      </c>
      <c r="I238" t="s">
        <v>152</v>
      </c>
      <c r="J238">
        <v>3</v>
      </c>
      <c r="K238">
        <v>2023</v>
      </c>
      <c r="L238" t="s">
        <v>1209</v>
      </c>
    </row>
    <row r="239" spans="1:12" x14ac:dyDescent="0.2">
      <c r="A239" t="s">
        <v>835</v>
      </c>
      <c r="B239" s="88">
        <v>45128</v>
      </c>
      <c r="C239" t="s">
        <v>963</v>
      </c>
      <c r="D239" t="s">
        <v>552</v>
      </c>
      <c r="E239" t="s">
        <v>95</v>
      </c>
      <c r="F239" t="s">
        <v>543</v>
      </c>
      <c r="G239" t="s">
        <v>960</v>
      </c>
      <c r="H239" t="s">
        <v>51</v>
      </c>
      <c r="I239" t="s">
        <v>152</v>
      </c>
      <c r="J239">
        <v>1</v>
      </c>
      <c r="K239">
        <v>2023</v>
      </c>
      <c r="L239" t="s">
        <v>1210</v>
      </c>
    </row>
    <row r="240" spans="1:12" x14ac:dyDescent="0.2">
      <c r="A240" t="s">
        <v>763</v>
      </c>
      <c r="B240" s="88">
        <v>45128</v>
      </c>
      <c r="C240" t="s">
        <v>963</v>
      </c>
      <c r="D240" t="s">
        <v>552</v>
      </c>
      <c r="E240" t="s">
        <v>95</v>
      </c>
      <c r="F240" t="s">
        <v>543</v>
      </c>
      <c r="G240" t="s">
        <v>960</v>
      </c>
      <c r="H240" t="s">
        <v>51</v>
      </c>
      <c r="I240" t="s">
        <v>152</v>
      </c>
      <c r="J240">
        <v>2</v>
      </c>
      <c r="K240">
        <v>2023</v>
      </c>
      <c r="L240" t="s">
        <v>1211</v>
      </c>
    </row>
    <row r="241" spans="1:12" x14ac:dyDescent="0.2">
      <c r="A241" t="s">
        <v>836</v>
      </c>
      <c r="B241" s="88">
        <v>45128</v>
      </c>
      <c r="C241" t="s">
        <v>963</v>
      </c>
      <c r="D241" t="s">
        <v>552</v>
      </c>
      <c r="E241" t="s">
        <v>95</v>
      </c>
      <c r="F241" t="s">
        <v>543</v>
      </c>
      <c r="G241" t="s">
        <v>960</v>
      </c>
      <c r="H241" t="s">
        <v>51</v>
      </c>
      <c r="I241" t="s">
        <v>152</v>
      </c>
      <c r="J241">
        <v>3</v>
      </c>
      <c r="K241">
        <v>2023</v>
      </c>
      <c r="L241" t="s">
        <v>1212</v>
      </c>
    </row>
    <row r="242" spans="1:12" x14ac:dyDescent="0.2">
      <c r="A242" t="s">
        <v>829</v>
      </c>
      <c r="B242" s="88">
        <v>45128</v>
      </c>
      <c r="C242" t="s">
        <v>963</v>
      </c>
      <c r="D242" t="s">
        <v>552</v>
      </c>
      <c r="E242" t="s">
        <v>95</v>
      </c>
      <c r="F242" t="s">
        <v>543</v>
      </c>
      <c r="G242" t="s">
        <v>960</v>
      </c>
      <c r="H242" t="s">
        <v>60</v>
      </c>
      <c r="I242" t="s">
        <v>152</v>
      </c>
      <c r="J242">
        <v>1</v>
      </c>
      <c r="K242">
        <v>2023</v>
      </c>
      <c r="L242" t="s">
        <v>1213</v>
      </c>
    </row>
    <row r="243" spans="1:12" x14ac:dyDescent="0.2">
      <c r="A243" t="s">
        <v>661</v>
      </c>
      <c r="B243" s="88">
        <v>45128</v>
      </c>
      <c r="C243" t="s">
        <v>963</v>
      </c>
      <c r="D243" t="s">
        <v>552</v>
      </c>
      <c r="E243" t="s">
        <v>95</v>
      </c>
      <c r="F243" t="s">
        <v>543</v>
      </c>
      <c r="G243" t="s">
        <v>960</v>
      </c>
      <c r="H243" t="s">
        <v>60</v>
      </c>
      <c r="I243" t="s">
        <v>152</v>
      </c>
      <c r="J243">
        <v>2</v>
      </c>
      <c r="K243">
        <v>2023</v>
      </c>
      <c r="L243" t="s">
        <v>1214</v>
      </c>
    </row>
    <row r="244" spans="1:12" x14ac:dyDescent="0.2">
      <c r="A244" t="s">
        <v>830</v>
      </c>
      <c r="B244" s="88">
        <v>45128</v>
      </c>
      <c r="C244" t="s">
        <v>963</v>
      </c>
      <c r="D244" t="s">
        <v>552</v>
      </c>
      <c r="E244" t="s">
        <v>95</v>
      </c>
      <c r="F244" t="s">
        <v>543</v>
      </c>
      <c r="G244" t="s">
        <v>960</v>
      </c>
      <c r="H244" t="s">
        <v>60</v>
      </c>
      <c r="I244" t="s">
        <v>152</v>
      </c>
      <c r="J244">
        <v>3</v>
      </c>
      <c r="K244">
        <v>2023</v>
      </c>
      <c r="L244" t="s">
        <v>1215</v>
      </c>
    </row>
    <row r="245" spans="1:12" x14ac:dyDescent="0.2">
      <c r="A245" t="s">
        <v>831</v>
      </c>
      <c r="B245" s="88">
        <v>45128</v>
      </c>
      <c r="C245" t="s">
        <v>963</v>
      </c>
      <c r="D245" t="s">
        <v>552</v>
      </c>
      <c r="E245" t="s">
        <v>95</v>
      </c>
      <c r="F245" t="s">
        <v>543</v>
      </c>
      <c r="G245" t="s">
        <v>960</v>
      </c>
      <c r="H245" t="s">
        <v>36</v>
      </c>
      <c r="I245" t="s">
        <v>152</v>
      </c>
      <c r="J245">
        <v>1</v>
      </c>
      <c r="K245">
        <v>2023</v>
      </c>
      <c r="L245" t="s">
        <v>1216</v>
      </c>
    </row>
    <row r="246" spans="1:12" x14ac:dyDescent="0.2">
      <c r="A246" t="s">
        <v>664</v>
      </c>
      <c r="B246" s="88">
        <v>45128</v>
      </c>
      <c r="C246" t="s">
        <v>963</v>
      </c>
      <c r="D246" t="s">
        <v>552</v>
      </c>
      <c r="E246" t="s">
        <v>95</v>
      </c>
      <c r="F246" t="s">
        <v>543</v>
      </c>
      <c r="G246" t="s">
        <v>960</v>
      </c>
      <c r="H246" t="s">
        <v>36</v>
      </c>
      <c r="I246" t="s">
        <v>152</v>
      </c>
      <c r="J246">
        <v>2</v>
      </c>
      <c r="K246">
        <v>2023</v>
      </c>
      <c r="L246" t="s">
        <v>1217</v>
      </c>
    </row>
    <row r="247" spans="1:12" x14ac:dyDescent="0.2">
      <c r="A247" t="s">
        <v>832</v>
      </c>
      <c r="B247" s="88">
        <v>45128</v>
      </c>
      <c r="C247" t="s">
        <v>963</v>
      </c>
      <c r="D247" t="s">
        <v>552</v>
      </c>
      <c r="E247" t="s">
        <v>95</v>
      </c>
      <c r="F247" t="s">
        <v>543</v>
      </c>
      <c r="G247" t="s">
        <v>960</v>
      </c>
      <c r="H247" t="s">
        <v>36</v>
      </c>
      <c r="I247" t="s">
        <v>152</v>
      </c>
      <c r="J247">
        <v>3</v>
      </c>
      <c r="K247">
        <v>2023</v>
      </c>
      <c r="L247" t="s">
        <v>1218</v>
      </c>
    </row>
    <row r="248" spans="1:12" x14ac:dyDescent="0.2">
      <c r="A248" t="s">
        <v>837</v>
      </c>
      <c r="B248" s="88">
        <v>45128</v>
      </c>
      <c r="C248" t="s">
        <v>963</v>
      </c>
      <c r="D248" t="s">
        <v>552</v>
      </c>
      <c r="E248" t="s">
        <v>95</v>
      </c>
      <c r="F248" t="s">
        <v>543</v>
      </c>
      <c r="G248" t="s">
        <v>960</v>
      </c>
      <c r="H248" t="s">
        <v>45</v>
      </c>
      <c r="I248" t="s">
        <v>152</v>
      </c>
      <c r="J248">
        <v>1</v>
      </c>
      <c r="K248">
        <v>2023</v>
      </c>
      <c r="L248" t="s">
        <v>1219</v>
      </c>
    </row>
    <row r="249" spans="1:12" x14ac:dyDescent="0.2">
      <c r="A249" t="s">
        <v>667</v>
      </c>
      <c r="B249" s="88">
        <v>45128</v>
      </c>
      <c r="C249" t="s">
        <v>963</v>
      </c>
      <c r="D249" t="s">
        <v>552</v>
      </c>
      <c r="E249" t="s">
        <v>95</v>
      </c>
      <c r="F249" t="s">
        <v>543</v>
      </c>
      <c r="G249" t="s">
        <v>960</v>
      </c>
      <c r="H249" t="s">
        <v>45</v>
      </c>
      <c r="I249" t="s">
        <v>152</v>
      </c>
      <c r="J249">
        <v>2</v>
      </c>
      <c r="K249">
        <v>2023</v>
      </c>
      <c r="L249" t="s">
        <v>1220</v>
      </c>
    </row>
    <row r="250" spans="1:12" x14ac:dyDescent="0.2">
      <c r="A250" t="s">
        <v>838</v>
      </c>
      <c r="B250" s="88">
        <v>45128</v>
      </c>
      <c r="C250" t="s">
        <v>963</v>
      </c>
      <c r="D250" t="s">
        <v>552</v>
      </c>
      <c r="E250" t="s">
        <v>95</v>
      </c>
      <c r="F250" t="s">
        <v>543</v>
      </c>
      <c r="G250" t="s">
        <v>960</v>
      </c>
      <c r="H250" t="s">
        <v>45</v>
      </c>
      <c r="I250" t="s">
        <v>152</v>
      </c>
      <c r="J250">
        <v>3</v>
      </c>
      <c r="K250">
        <v>2023</v>
      </c>
      <c r="L250" t="s">
        <v>1221</v>
      </c>
    </row>
    <row r="251" spans="1:12" x14ac:dyDescent="0.2">
      <c r="A251" t="s">
        <v>839</v>
      </c>
      <c r="B251" s="88">
        <v>45128</v>
      </c>
      <c r="C251" t="s">
        <v>963</v>
      </c>
      <c r="D251" t="s">
        <v>550</v>
      </c>
      <c r="E251" t="s">
        <v>94</v>
      </c>
      <c r="F251" t="s">
        <v>544</v>
      </c>
      <c r="G251" t="s">
        <v>961</v>
      </c>
      <c r="H251" t="s">
        <v>43</v>
      </c>
      <c r="I251" t="s">
        <v>152</v>
      </c>
      <c r="J251">
        <v>1</v>
      </c>
      <c r="K251">
        <v>2023</v>
      </c>
      <c r="L251" t="s">
        <v>1222</v>
      </c>
    </row>
    <row r="252" spans="1:12" x14ac:dyDescent="0.2">
      <c r="A252" t="s">
        <v>840</v>
      </c>
      <c r="B252" s="88">
        <v>45128</v>
      </c>
      <c r="C252" t="s">
        <v>963</v>
      </c>
      <c r="D252" t="s">
        <v>550</v>
      </c>
      <c r="E252" t="s">
        <v>94</v>
      </c>
      <c r="F252" t="s">
        <v>544</v>
      </c>
      <c r="G252" t="s">
        <v>961</v>
      </c>
      <c r="H252" t="s">
        <v>43</v>
      </c>
      <c r="I252" t="s">
        <v>152</v>
      </c>
      <c r="J252">
        <v>2</v>
      </c>
      <c r="K252">
        <v>2023</v>
      </c>
      <c r="L252" t="s">
        <v>1223</v>
      </c>
    </row>
    <row r="253" spans="1:12" x14ac:dyDescent="0.2">
      <c r="A253" t="s">
        <v>841</v>
      </c>
      <c r="B253" s="88">
        <v>45128</v>
      </c>
      <c r="C253" t="s">
        <v>963</v>
      </c>
      <c r="D253" t="s">
        <v>550</v>
      </c>
      <c r="E253" t="s">
        <v>94</v>
      </c>
      <c r="F253" t="s">
        <v>544</v>
      </c>
      <c r="G253" t="s">
        <v>961</v>
      </c>
      <c r="H253" t="s">
        <v>43</v>
      </c>
      <c r="I253" t="s">
        <v>152</v>
      </c>
      <c r="J253">
        <v>3</v>
      </c>
      <c r="K253">
        <v>2023</v>
      </c>
      <c r="L253" t="s">
        <v>1224</v>
      </c>
    </row>
    <row r="254" spans="1:12" x14ac:dyDescent="0.2">
      <c r="A254" t="s">
        <v>842</v>
      </c>
      <c r="B254" s="88">
        <v>45128</v>
      </c>
      <c r="C254" t="s">
        <v>963</v>
      </c>
      <c r="D254" t="s">
        <v>550</v>
      </c>
      <c r="E254" t="s">
        <v>94</v>
      </c>
      <c r="F254" t="s">
        <v>544</v>
      </c>
      <c r="G254" t="s">
        <v>961</v>
      </c>
      <c r="H254" t="s">
        <v>51</v>
      </c>
      <c r="I254" t="s">
        <v>152</v>
      </c>
      <c r="J254">
        <v>1</v>
      </c>
      <c r="K254">
        <v>2023</v>
      </c>
      <c r="L254" t="s">
        <v>1225</v>
      </c>
    </row>
    <row r="255" spans="1:12" x14ac:dyDescent="0.2">
      <c r="A255" t="s">
        <v>843</v>
      </c>
      <c r="B255" s="88">
        <v>45128</v>
      </c>
      <c r="C255" t="s">
        <v>963</v>
      </c>
      <c r="D255" t="s">
        <v>550</v>
      </c>
      <c r="E255" t="s">
        <v>94</v>
      </c>
      <c r="F255" t="s">
        <v>544</v>
      </c>
      <c r="G255" t="s">
        <v>961</v>
      </c>
      <c r="H255" t="s">
        <v>51</v>
      </c>
      <c r="I255" t="s">
        <v>152</v>
      </c>
      <c r="J255">
        <v>2</v>
      </c>
      <c r="K255">
        <v>2023</v>
      </c>
      <c r="L255" t="s">
        <v>1226</v>
      </c>
    </row>
    <row r="256" spans="1:12" x14ac:dyDescent="0.2">
      <c r="A256" t="s">
        <v>844</v>
      </c>
      <c r="B256" s="88">
        <v>45128</v>
      </c>
      <c r="C256" t="s">
        <v>963</v>
      </c>
      <c r="D256" t="s">
        <v>550</v>
      </c>
      <c r="E256" t="s">
        <v>94</v>
      </c>
      <c r="F256" t="s">
        <v>544</v>
      </c>
      <c r="G256" t="s">
        <v>961</v>
      </c>
      <c r="H256" t="s">
        <v>51</v>
      </c>
      <c r="I256" t="s">
        <v>152</v>
      </c>
      <c r="J256">
        <v>3</v>
      </c>
      <c r="K256">
        <v>2023</v>
      </c>
      <c r="L256" t="s">
        <v>1227</v>
      </c>
    </row>
    <row r="257" spans="1:12" x14ac:dyDescent="0.2">
      <c r="A257" t="s">
        <v>845</v>
      </c>
      <c r="B257" s="88">
        <v>45128</v>
      </c>
      <c r="C257" t="s">
        <v>963</v>
      </c>
      <c r="D257" t="s">
        <v>550</v>
      </c>
      <c r="E257" t="s">
        <v>94</v>
      </c>
      <c r="F257" t="s">
        <v>544</v>
      </c>
      <c r="G257" t="s">
        <v>961</v>
      </c>
      <c r="H257" t="s">
        <v>60</v>
      </c>
      <c r="I257" t="s">
        <v>152</v>
      </c>
      <c r="J257">
        <v>1</v>
      </c>
      <c r="K257">
        <v>2023</v>
      </c>
      <c r="L257" t="s">
        <v>1228</v>
      </c>
    </row>
    <row r="258" spans="1:12" x14ac:dyDescent="0.2">
      <c r="A258" t="s">
        <v>670</v>
      </c>
      <c r="B258" s="88">
        <v>45128</v>
      </c>
      <c r="C258" t="s">
        <v>963</v>
      </c>
      <c r="D258" t="s">
        <v>550</v>
      </c>
      <c r="E258" t="s">
        <v>94</v>
      </c>
      <c r="F258" t="s">
        <v>544</v>
      </c>
      <c r="G258" t="s">
        <v>961</v>
      </c>
      <c r="H258" t="s">
        <v>60</v>
      </c>
      <c r="I258" t="s">
        <v>152</v>
      </c>
      <c r="J258">
        <v>2</v>
      </c>
      <c r="K258">
        <v>2023</v>
      </c>
      <c r="L258" t="s">
        <v>1229</v>
      </c>
    </row>
    <row r="259" spans="1:12" x14ac:dyDescent="0.2">
      <c r="A259" t="s">
        <v>846</v>
      </c>
      <c r="B259" s="88">
        <v>45128</v>
      </c>
      <c r="C259" t="s">
        <v>963</v>
      </c>
      <c r="D259" t="s">
        <v>550</v>
      </c>
      <c r="E259" t="s">
        <v>94</v>
      </c>
      <c r="F259" t="s">
        <v>544</v>
      </c>
      <c r="G259" t="s">
        <v>961</v>
      </c>
      <c r="H259" t="s">
        <v>60</v>
      </c>
      <c r="I259" t="s">
        <v>152</v>
      </c>
      <c r="J259">
        <v>3</v>
      </c>
      <c r="K259">
        <v>2023</v>
      </c>
      <c r="L259" t="s">
        <v>1230</v>
      </c>
    </row>
    <row r="260" spans="1:12" x14ac:dyDescent="0.2">
      <c r="A260" t="s">
        <v>847</v>
      </c>
      <c r="B260" s="88">
        <v>45128</v>
      </c>
      <c r="C260" t="s">
        <v>963</v>
      </c>
      <c r="D260" t="s">
        <v>550</v>
      </c>
      <c r="E260" t="s">
        <v>94</v>
      </c>
      <c r="F260" t="s">
        <v>544</v>
      </c>
      <c r="G260" t="s">
        <v>961</v>
      </c>
      <c r="H260" t="s">
        <v>36</v>
      </c>
      <c r="I260" t="s">
        <v>152</v>
      </c>
      <c r="J260">
        <v>1</v>
      </c>
      <c r="K260">
        <v>2023</v>
      </c>
      <c r="L260" t="s">
        <v>1231</v>
      </c>
    </row>
    <row r="261" spans="1:12" x14ac:dyDescent="0.2">
      <c r="A261" t="s">
        <v>673</v>
      </c>
      <c r="B261" s="88">
        <v>45128</v>
      </c>
      <c r="C261" t="s">
        <v>963</v>
      </c>
      <c r="D261" t="s">
        <v>550</v>
      </c>
      <c r="E261" t="s">
        <v>94</v>
      </c>
      <c r="F261" t="s">
        <v>544</v>
      </c>
      <c r="G261" t="s">
        <v>961</v>
      </c>
      <c r="H261" t="s">
        <v>36</v>
      </c>
      <c r="I261" t="s">
        <v>152</v>
      </c>
      <c r="J261">
        <v>2</v>
      </c>
      <c r="K261">
        <v>2023</v>
      </c>
      <c r="L261" t="s">
        <v>1232</v>
      </c>
    </row>
    <row r="262" spans="1:12" x14ac:dyDescent="0.2">
      <c r="A262" t="s">
        <v>848</v>
      </c>
      <c r="B262" s="88">
        <v>45128</v>
      </c>
      <c r="C262" t="s">
        <v>963</v>
      </c>
      <c r="D262" t="s">
        <v>550</v>
      </c>
      <c r="E262" t="s">
        <v>94</v>
      </c>
      <c r="F262" t="s">
        <v>544</v>
      </c>
      <c r="G262" t="s">
        <v>961</v>
      </c>
      <c r="H262" t="s">
        <v>36</v>
      </c>
      <c r="I262" t="s">
        <v>152</v>
      </c>
      <c r="J262">
        <v>3</v>
      </c>
      <c r="K262">
        <v>2023</v>
      </c>
      <c r="L262" t="s">
        <v>1233</v>
      </c>
    </row>
    <row r="263" spans="1:12" x14ac:dyDescent="0.2">
      <c r="A263" t="s">
        <v>849</v>
      </c>
      <c r="B263" s="88">
        <v>45128</v>
      </c>
      <c r="C263" t="s">
        <v>963</v>
      </c>
      <c r="D263" t="s">
        <v>550</v>
      </c>
      <c r="E263" t="s">
        <v>94</v>
      </c>
      <c r="F263" t="s">
        <v>544</v>
      </c>
      <c r="G263" t="s">
        <v>961</v>
      </c>
      <c r="H263" t="s">
        <v>45</v>
      </c>
      <c r="I263" t="s">
        <v>152</v>
      </c>
      <c r="J263">
        <v>1</v>
      </c>
      <c r="K263">
        <v>2023</v>
      </c>
      <c r="L263" t="s">
        <v>1234</v>
      </c>
    </row>
    <row r="264" spans="1:12" x14ac:dyDescent="0.2">
      <c r="A264" t="s">
        <v>676</v>
      </c>
      <c r="B264" s="88">
        <v>45128</v>
      </c>
      <c r="C264" t="s">
        <v>963</v>
      </c>
      <c r="D264" t="s">
        <v>550</v>
      </c>
      <c r="E264" t="s">
        <v>94</v>
      </c>
      <c r="F264" t="s">
        <v>544</v>
      </c>
      <c r="G264" t="s">
        <v>961</v>
      </c>
      <c r="H264" t="s">
        <v>45</v>
      </c>
      <c r="I264" t="s">
        <v>152</v>
      </c>
      <c r="J264">
        <v>2</v>
      </c>
      <c r="K264">
        <v>2023</v>
      </c>
      <c r="L264" t="s">
        <v>1235</v>
      </c>
    </row>
    <row r="265" spans="1:12" x14ac:dyDescent="0.2">
      <c r="A265" t="s">
        <v>850</v>
      </c>
      <c r="B265" s="88">
        <v>45128</v>
      </c>
      <c r="C265" t="s">
        <v>963</v>
      </c>
      <c r="D265" t="s">
        <v>550</v>
      </c>
      <c r="E265" t="s">
        <v>94</v>
      </c>
      <c r="F265" t="s">
        <v>544</v>
      </c>
      <c r="G265" t="s">
        <v>961</v>
      </c>
      <c r="H265" t="s">
        <v>45</v>
      </c>
      <c r="I265" t="s">
        <v>152</v>
      </c>
      <c r="J265">
        <v>3</v>
      </c>
      <c r="K265">
        <v>2023</v>
      </c>
      <c r="L265" t="s">
        <v>1236</v>
      </c>
    </row>
    <row r="266" spans="1:12" x14ac:dyDescent="0.2">
      <c r="A266" t="s">
        <v>851</v>
      </c>
      <c r="B266" s="88">
        <v>45161</v>
      </c>
      <c r="C266" t="s">
        <v>964</v>
      </c>
      <c r="D266" t="s">
        <v>551</v>
      </c>
      <c r="E266" t="s">
        <v>16</v>
      </c>
      <c r="F266" t="s">
        <v>548</v>
      </c>
      <c r="G266" t="s">
        <v>960</v>
      </c>
      <c r="H266" t="s">
        <v>43</v>
      </c>
      <c r="I266" t="s">
        <v>152</v>
      </c>
      <c r="J266">
        <v>1</v>
      </c>
      <c r="K266">
        <v>2023</v>
      </c>
      <c r="L266" t="s">
        <v>1237</v>
      </c>
    </row>
    <row r="267" spans="1:12" x14ac:dyDescent="0.2">
      <c r="A267" t="s">
        <v>852</v>
      </c>
      <c r="B267" s="88">
        <v>45161</v>
      </c>
      <c r="C267" t="s">
        <v>964</v>
      </c>
      <c r="D267" t="s">
        <v>551</v>
      </c>
      <c r="E267" t="s">
        <v>16</v>
      </c>
      <c r="F267" t="s">
        <v>548</v>
      </c>
      <c r="G267" t="s">
        <v>960</v>
      </c>
      <c r="H267" t="s">
        <v>43</v>
      </c>
      <c r="I267" t="s">
        <v>152</v>
      </c>
      <c r="J267">
        <v>2</v>
      </c>
      <c r="K267">
        <v>2023</v>
      </c>
      <c r="L267" t="s">
        <v>1238</v>
      </c>
    </row>
    <row r="268" spans="1:12" x14ac:dyDescent="0.2">
      <c r="A268" t="s">
        <v>559</v>
      </c>
      <c r="B268" s="88">
        <v>45161</v>
      </c>
      <c r="C268" t="s">
        <v>964</v>
      </c>
      <c r="D268" t="s">
        <v>551</v>
      </c>
      <c r="E268" t="s">
        <v>16</v>
      </c>
      <c r="F268" t="s">
        <v>548</v>
      </c>
      <c r="G268" t="s">
        <v>960</v>
      </c>
      <c r="H268" t="s">
        <v>43</v>
      </c>
      <c r="I268" t="s">
        <v>152</v>
      </c>
      <c r="J268">
        <v>3</v>
      </c>
      <c r="K268">
        <v>2023</v>
      </c>
      <c r="L268" t="s">
        <v>1239</v>
      </c>
    </row>
    <row r="269" spans="1:12" x14ac:dyDescent="0.2">
      <c r="A269" t="s">
        <v>853</v>
      </c>
      <c r="B269" s="88">
        <v>45161</v>
      </c>
      <c r="C269" t="s">
        <v>964</v>
      </c>
      <c r="D269" t="s">
        <v>551</v>
      </c>
      <c r="E269" t="s">
        <v>16</v>
      </c>
      <c r="F269" t="s">
        <v>548</v>
      </c>
      <c r="G269" t="s">
        <v>960</v>
      </c>
      <c r="H269" t="s">
        <v>74</v>
      </c>
      <c r="I269" t="s">
        <v>152</v>
      </c>
      <c r="J269">
        <v>1</v>
      </c>
      <c r="K269">
        <v>2023</v>
      </c>
      <c r="L269" t="s">
        <v>1240</v>
      </c>
    </row>
    <row r="270" spans="1:12" x14ac:dyDescent="0.2">
      <c r="A270" t="s">
        <v>854</v>
      </c>
      <c r="B270" s="88">
        <v>45161</v>
      </c>
      <c r="C270" t="s">
        <v>964</v>
      </c>
      <c r="D270" t="s">
        <v>551</v>
      </c>
      <c r="E270" t="s">
        <v>16</v>
      </c>
      <c r="F270" t="s">
        <v>548</v>
      </c>
      <c r="G270" t="s">
        <v>960</v>
      </c>
      <c r="H270" t="s">
        <v>74</v>
      </c>
      <c r="I270" t="s">
        <v>152</v>
      </c>
      <c r="J270">
        <v>2</v>
      </c>
      <c r="K270">
        <v>2023</v>
      </c>
      <c r="L270" t="s">
        <v>1241</v>
      </c>
    </row>
    <row r="271" spans="1:12" x14ac:dyDescent="0.2">
      <c r="A271" t="s">
        <v>567</v>
      </c>
      <c r="B271" s="88">
        <v>45161</v>
      </c>
      <c r="C271" t="s">
        <v>964</v>
      </c>
      <c r="D271" t="s">
        <v>551</v>
      </c>
      <c r="E271" t="s">
        <v>16</v>
      </c>
      <c r="F271" t="s">
        <v>548</v>
      </c>
      <c r="G271" t="s">
        <v>960</v>
      </c>
      <c r="H271" t="s">
        <v>74</v>
      </c>
      <c r="I271" t="s">
        <v>152</v>
      </c>
      <c r="J271">
        <v>3</v>
      </c>
      <c r="K271">
        <v>2023</v>
      </c>
      <c r="L271" t="s">
        <v>1242</v>
      </c>
    </row>
    <row r="272" spans="1:12" x14ac:dyDescent="0.2">
      <c r="A272" t="s">
        <v>855</v>
      </c>
      <c r="B272" s="88">
        <v>45161</v>
      </c>
      <c r="C272" t="s">
        <v>964</v>
      </c>
      <c r="D272" t="s">
        <v>551</v>
      </c>
      <c r="E272" t="s">
        <v>16</v>
      </c>
      <c r="F272" t="s">
        <v>548</v>
      </c>
      <c r="G272" t="s">
        <v>960</v>
      </c>
      <c r="H272" t="s">
        <v>51</v>
      </c>
      <c r="I272" t="s">
        <v>152</v>
      </c>
      <c r="J272">
        <v>1</v>
      </c>
      <c r="K272">
        <v>2023</v>
      </c>
      <c r="L272" t="s">
        <v>1243</v>
      </c>
    </row>
    <row r="273" spans="1:12" x14ac:dyDescent="0.2">
      <c r="A273" t="s">
        <v>856</v>
      </c>
      <c r="B273" s="88">
        <v>45161</v>
      </c>
      <c r="C273" t="s">
        <v>964</v>
      </c>
      <c r="D273" t="s">
        <v>551</v>
      </c>
      <c r="E273" t="s">
        <v>16</v>
      </c>
      <c r="F273" t="s">
        <v>548</v>
      </c>
      <c r="G273" t="s">
        <v>960</v>
      </c>
      <c r="H273" t="s">
        <v>51</v>
      </c>
      <c r="I273" t="s">
        <v>152</v>
      </c>
      <c r="J273">
        <v>2</v>
      </c>
      <c r="K273">
        <v>2023</v>
      </c>
      <c r="L273" t="s">
        <v>1244</v>
      </c>
    </row>
    <row r="274" spans="1:12" x14ac:dyDescent="0.2">
      <c r="A274" t="s">
        <v>571</v>
      </c>
      <c r="B274" s="88">
        <v>45161</v>
      </c>
      <c r="C274" t="s">
        <v>964</v>
      </c>
      <c r="D274" t="s">
        <v>551</v>
      </c>
      <c r="E274" t="s">
        <v>16</v>
      </c>
      <c r="F274" t="s">
        <v>548</v>
      </c>
      <c r="G274" t="s">
        <v>960</v>
      </c>
      <c r="H274" t="s">
        <v>51</v>
      </c>
      <c r="I274" t="s">
        <v>152</v>
      </c>
      <c r="J274">
        <v>3</v>
      </c>
      <c r="K274">
        <v>2023</v>
      </c>
      <c r="L274" t="s">
        <v>1245</v>
      </c>
    </row>
    <row r="275" spans="1:12" x14ac:dyDescent="0.2">
      <c r="A275" t="s">
        <v>857</v>
      </c>
      <c r="B275" s="88">
        <v>45161</v>
      </c>
      <c r="C275" t="s">
        <v>964</v>
      </c>
      <c r="D275" t="s">
        <v>551</v>
      </c>
      <c r="E275" t="s">
        <v>16</v>
      </c>
      <c r="F275" t="s">
        <v>548</v>
      </c>
      <c r="G275" t="s">
        <v>960</v>
      </c>
      <c r="H275" t="s">
        <v>60</v>
      </c>
      <c r="I275" t="s">
        <v>152</v>
      </c>
      <c r="J275">
        <v>1</v>
      </c>
      <c r="K275">
        <v>2023</v>
      </c>
      <c r="L275" t="s">
        <v>1246</v>
      </c>
    </row>
    <row r="276" spans="1:12" x14ac:dyDescent="0.2">
      <c r="A276" t="s">
        <v>858</v>
      </c>
      <c r="B276" s="88">
        <v>45161</v>
      </c>
      <c r="C276" t="s">
        <v>964</v>
      </c>
      <c r="D276" t="s">
        <v>551</v>
      </c>
      <c r="E276" t="s">
        <v>16</v>
      </c>
      <c r="F276" t="s">
        <v>548</v>
      </c>
      <c r="G276" t="s">
        <v>960</v>
      </c>
      <c r="H276" t="s">
        <v>60</v>
      </c>
      <c r="I276" t="s">
        <v>152</v>
      </c>
      <c r="J276">
        <v>2</v>
      </c>
      <c r="K276">
        <v>2023</v>
      </c>
      <c r="L276" t="s">
        <v>1247</v>
      </c>
    </row>
    <row r="277" spans="1:12" x14ac:dyDescent="0.2">
      <c r="A277" t="s">
        <v>583</v>
      </c>
      <c r="B277" s="88">
        <v>45161</v>
      </c>
      <c r="C277" t="s">
        <v>964</v>
      </c>
      <c r="D277" t="s">
        <v>551</v>
      </c>
      <c r="E277" t="s">
        <v>16</v>
      </c>
      <c r="F277" t="s">
        <v>548</v>
      </c>
      <c r="G277" t="s">
        <v>960</v>
      </c>
      <c r="H277" t="s">
        <v>60</v>
      </c>
      <c r="I277" t="s">
        <v>152</v>
      </c>
      <c r="J277">
        <v>3</v>
      </c>
      <c r="K277">
        <v>2023</v>
      </c>
      <c r="L277" t="s">
        <v>1248</v>
      </c>
    </row>
    <row r="278" spans="1:12" x14ac:dyDescent="0.2">
      <c r="A278" t="s">
        <v>859</v>
      </c>
      <c r="B278" s="88">
        <v>45161</v>
      </c>
      <c r="C278" t="s">
        <v>964</v>
      </c>
      <c r="D278" t="s">
        <v>551</v>
      </c>
      <c r="E278" t="s">
        <v>16</v>
      </c>
      <c r="F278" t="s">
        <v>548</v>
      </c>
      <c r="G278" t="s">
        <v>960</v>
      </c>
      <c r="H278" t="s">
        <v>36</v>
      </c>
      <c r="I278" t="s">
        <v>152</v>
      </c>
      <c r="J278">
        <v>1</v>
      </c>
      <c r="K278">
        <v>2023</v>
      </c>
      <c r="L278" t="s">
        <v>1249</v>
      </c>
    </row>
    <row r="279" spans="1:12" x14ac:dyDescent="0.2">
      <c r="A279" t="s">
        <v>860</v>
      </c>
      <c r="B279" s="88">
        <v>45161</v>
      </c>
      <c r="C279" t="s">
        <v>964</v>
      </c>
      <c r="D279" t="s">
        <v>551</v>
      </c>
      <c r="E279" t="s">
        <v>16</v>
      </c>
      <c r="F279" t="s">
        <v>548</v>
      </c>
      <c r="G279" t="s">
        <v>960</v>
      </c>
      <c r="H279" t="s">
        <v>36</v>
      </c>
      <c r="I279" t="s">
        <v>152</v>
      </c>
      <c r="J279">
        <v>2</v>
      </c>
      <c r="K279">
        <v>2023</v>
      </c>
      <c r="L279" t="s">
        <v>1250</v>
      </c>
    </row>
    <row r="280" spans="1:12" x14ac:dyDescent="0.2">
      <c r="A280" t="s">
        <v>587</v>
      </c>
      <c r="B280" s="88">
        <v>45161</v>
      </c>
      <c r="C280" t="s">
        <v>964</v>
      </c>
      <c r="D280" t="s">
        <v>551</v>
      </c>
      <c r="E280" t="s">
        <v>16</v>
      </c>
      <c r="F280" t="s">
        <v>548</v>
      </c>
      <c r="G280" t="s">
        <v>960</v>
      </c>
      <c r="H280" t="s">
        <v>36</v>
      </c>
      <c r="I280" t="s">
        <v>152</v>
      </c>
      <c r="J280">
        <v>3</v>
      </c>
      <c r="K280">
        <v>2023</v>
      </c>
      <c r="L280" t="s">
        <v>1251</v>
      </c>
    </row>
    <row r="281" spans="1:12" x14ac:dyDescent="0.2">
      <c r="A281" t="s">
        <v>861</v>
      </c>
      <c r="B281" s="88">
        <v>45161</v>
      </c>
      <c r="C281" t="s">
        <v>964</v>
      </c>
      <c r="D281" t="s">
        <v>551</v>
      </c>
      <c r="E281" t="s">
        <v>16</v>
      </c>
      <c r="F281" t="s">
        <v>548</v>
      </c>
      <c r="G281" t="s">
        <v>960</v>
      </c>
      <c r="H281" t="s">
        <v>45</v>
      </c>
      <c r="I281" t="s">
        <v>152</v>
      </c>
      <c r="J281">
        <v>1</v>
      </c>
      <c r="K281">
        <v>2023</v>
      </c>
      <c r="L281" t="s">
        <v>1252</v>
      </c>
    </row>
    <row r="282" spans="1:12" x14ac:dyDescent="0.2">
      <c r="A282" t="s">
        <v>862</v>
      </c>
      <c r="B282" s="88">
        <v>45161</v>
      </c>
      <c r="C282" t="s">
        <v>964</v>
      </c>
      <c r="D282" t="s">
        <v>551</v>
      </c>
      <c r="E282" t="s">
        <v>16</v>
      </c>
      <c r="F282" t="s">
        <v>548</v>
      </c>
      <c r="G282" t="s">
        <v>960</v>
      </c>
      <c r="H282" t="s">
        <v>45</v>
      </c>
      <c r="I282" t="s">
        <v>152</v>
      </c>
      <c r="J282">
        <v>2</v>
      </c>
      <c r="K282">
        <v>2023</v>
      </c>
      <c r="L282" t="s">
        <v>1253</v>
      </c>
    </row>
    <row r="283" spans="1:12" x14ac:dyDescent="0.2">
      <c r="A283" t="s">
        <v>591</v>
      </c>
      <c r="B283" s="88">
        <v>45161</v>
      </c>
      <c r="C283" t="s">
        <v>964</v>
      </c>
      <c r="D283" t="s">
        <v>551</v>
      </c>
      <c r="E283" t="s">
        <v>16</v>
      </c>
      <c r="F283" t="s">
        <v>548</v>
      </c>
      <c r="G283" t="s">
        <v>960</v>
      </c>
      <c r="H283" t="s">
        <v>45</v>
      </c>
      <c r="I283" t="s">
        <v>152</v>
      </c>
      <c r="J283">
        <v>3</v>
      </c>
      <c r="K283">
        <v>2023</v>
      </c>
      <c r="L283" t="s">
        <v>1254</v>
      </c>
    </row>
    <row r="284" spans="1:12" x14ac:dyDescent="0.2">
      <c r="A284" t="s">
        <v>863</v>
      </c>
      <c r="B284" s="88">
        <v>45159</v>
      </c>
      <c r="C284" t="s">
        <v>964</v>
      </c>
      <c r="D284" t="s">
        <v>8</v>
      </c>
      <c r="E284" t="s">
        <v>9</v>
      </c>
      <c r="F284" t="s">
        <v>545</v>
      </c>
      <c r="G284" t="s">
        <v>960</v>
      </c>
      <c r="H284" t="s">
        <v>43</v>
      </c>
      <c r="I284" t="s">
        <v>152</v>
      </c>
      <c r="J284">
        <v>1</v>
      </c>
      <c r="K284">
        <v>2023</v>
      </c>
      <c r="L284" t="s">
        <v>1255</v>
      </c>
    </row>
    <row r="285" spans="1:12" x14ac:dyDescent="0.2">
      <c r="A285" t="s">
        <v>864</v>
      </c>
      <c r="B285" s="88">
        <v>45159</v>
      </c>
      <c r="C285" t="s">
        <v>964</v>
      </c>
      <c r="D285" t="s">
        <v>8</v>
      </c>
      <c r="E285" t="s">
        <v>9</v>
      </c>
      <c r="F285" t="s">
        <v>545</v>
      </c>
      <c r="G285" t="s">
        <v>960</v>
      </c>
      <c r="H285" t="s">
        <v>43</v>
      </c>
      <c r="I285" t="s">
        <v>152</v>
      </c>
      <c r="J285">
        <v>2</v>
      </c>
      <c r="K285">
        <v>2023</v>
      </c>
      <c r="L285" t="s">
        <v>1256</v>
      </c>
    </row>
    <row r="286" spans="1:12" x14ac:dyDescent="0.2">
      <c r="A286" t="s">
        <v>607</v>
      </c>
      <c r="B286" s="88">
        <v>45159</v>
      </c>
      <c r="C286" t="s">
        <v>964</v>
      </c>
      <c r="D286" t="s">
        <v>8</v>
      </c>
      <c r="E286" t="s">
        <v>9</v>
      </c>
      <c r="F286" t="s">
        <v>545</v>
      </c>
      <c r="G286" t="s">
        <v>960</v>
      </c>
      <c r="H286" t="s">
        <v>43</v>
      </c>
      <c r="I286" t="s">
        <v>152</v>
      </c>
      <c r="J286">
        <v>3</v>
      </c>
      <c r="K286">
        <v>2023</v>
      </c>
      <c r="L286" t="s">
        <v>1257</v>
      </c>
    </row>
    <row r="287" spans="1:12" x14ac:dyDescent="0.2">
      <c r="A287" t="s">
        <v>865</v>
      </c>
      <c r="B287" s="88">
        <v>45159</v>
      </c>
      <c r="C287" t="s">
        <v>964</v>
      </c>
      <c r="D287" t="s">
        <v>8</v>
      </c>
      <c r="E287" t="s">
        <v>9</v>
      </c>
      <c r="F287" t="s">
        <v>545</v>
      </c>
      <c r="G287" t="s">
        <v>960</v>
      </c>
      <c r="H287" t="s">
        <v>74</v>
      </c>
      <c r="I287" t="s">
        <v>152</v>
      </c>
      <c r="J287">
        <v>1</v>
      </c>
      <c r="K287">
        <v>2023</v>
      </c>
      <c r="L287" t="s">
        <v>1258</v>
      </c>
    </row>
    <row r="288" spans="1:12" x14ac:dyDescent="0.2">
      <c r="A288" t="s">
        <v>866</v>
      </c>
      <c r="B288" s="88">
        <v>45159</v>
      </c>
      <c r="C288" t="s">
        <v>964</v>
      </c>
      <c r="D288" t="s">
        <v>8</v>
      </c>
      <c r="E288" t="s">
        <v>9</v>
      </c>
      <c r="F288" t="s">
        <v>545</v>
      </c>
      <c r="G288" t="s">
        <v>960</v>
      </c>
      <c r="H288" t="s">
        <v>74</v>
      </c>
      <c r="I288" t="s">
        <v>152</v>
      </c>
      <c r="J288">
        <v>2</v>
      </c>
      <c r="K288">
        <v>2023</v>
      </c>
      <c r="L288" t="s">
        <v>1259</v>
      </c>
    </row>
    <row r="289" spans="1:12" x14ac:dyDescent="0.2">
      <c r="A289" t="s">
        <v>614</v>
      </c>
      <c r="B289" s="88">
        <v>45159</v>
      </c>
      <c r="C289" t="s">
        <v>964</v>
      </c>
      <c r="D289" t="s">
        <v>8</v>
      </c>
      <c r="E289" t="s">
        <v>9</v>
      </c>
      <c r="F289" t="s">
        <v>545</v>
      </c>
      <c r="G289" t="s">
        <v>960</v>
      </c>
      <c r="H289" t="s">
        <v>74</v>
      </c>
      <c r="I289" t="s">
        <v>152</v>
      </c>
      <c r="J289">
        <v>3</v>
      </c>
      <c r="K289">
        <v>2023</v>
      </c>
      <c r="L289" t="s">
        <v>1260</v>
      </c>
    </row>
    <row r="290" spans="1:12" x14ac:dyDescent="0.2">
      <c r="A290" t="s">
        <v>867</v>
      </c>
      <c r="B290" s="88">
        <v>45159</v>
      </c>
      <c r="C290" t="s">
        <v>964</v>
      </c>
      <c r="D290" t="s">
        <v>8</v>
      </c>
      <c r="E290" t="s">
        <v>9</v>
      </c>
      <c r="F290" t="s">
        <v>545</v>
      </c>
      <c r="G290" t="s">
        <v>960</v>
      </c>
      <c r="H290" t="s">
        <v>51</v>
      </c>
      <c r="I290" t="s">
        <v>152</v>
      </c>
      <c r="J290">
        <v>1</v>
      </c>
      <c r="K290">
        <v>2023</v>
      </c>
      <c r="L290" t="s">
        <v>1261</v>
      </c>
    </row>
    <row r="291" spans="1:12" x14ac:dyDescent="0.2">
      <c r="A291" t="s">
        <v>868</v>
      </c>
      <c r="B291" s="88">
        <v>45159</v>
      </c>
      <c r="C291" t="s">
        <v>964</v>
      </c>
      <c r="D291" t="s">
        <v>8</v>
      </c>
      <c r="E291" t="s">
        <v>9</v>
      </c>
      <c r="F291" t="s">
        <v>545</v>
      </c>
      <c r="G291" t="s">
        <v>960</v>
      </c>
      <c r="H291" t="s">
        <v>51</v>
      </c>
      <c r="I291" t="s">
        <v>152</v>
      </c>
      <c r="J291">
        <v>2</v>
      </c>
      <c r="K291">
        <v>2023</v>
      </c>
      <c r="L291" t="s">
        <v>1262</v>
      </c>
    </row>
    <row r="292" spans="1:12" x14ac:dyDescent="0.2">
      <c r="A292" t="s">
        <v>623</v>
      </c>
      <c r="B292" s="88">
        <v>45159</v>
      </c>
      <c r="C292" t="s">
        <v>964</v>
      </c>
      <c r="D292" t="s">
        <v>8</v>
      </c>
      <c r="E292" t="s">
        <v>9</v>
      </c>
      <c r="F292" t="s">
        <v>545</v>
      </c>
      <c r="G292" t="s">
        <v>960</v>
      </c>
      <c r="H292" t="s">
        <v>51</v>
      </c>
      <c r="I292" t="s">
        <v>152</v>
      </c>
      <c r="J292">
        <v>3</v>
      </c>
      <c r="K292">
        <v>2023</v>
      </c>
      <c r="L292" t="s">
        <v>1263</v>
      </c>
    </row>
    <row r="293" spans="1:12" x14ac:dyDescent="0.2">
      <c r="A293" t="s">
        <v>869</v>
      </c>
      <c r="B293" s="88">
        <v>45159</v>
      </c>
      <c r="C293" t="s">
        <v>964</v>
      </c>
      <c r="D293" t="s">
        <v>8</v>
      </c>
      <c r="E293" t="s">
        <v>9</v>
      </c>
      <c r="F293" t="s">
        <v>545</v>
      </c>
      <c r="G293" t="s">
        <v>960</v>
      </c>
      <c r="H293" t="s">
        <v>60</v>
      </c>
      <c r="I293" t="s">
        <v>152</v>
      </c>
      <c r="J293">
        <v>1</v>
      </c>
      <c r="K293">
        <v>2023</v>
      </c>
      <c r="L293" t="s">
        <v>1264</v>
      </c>
    </row>
    <row r="294" spans="1:12" x14ac:dyDescent="0.2">
      <c r="A294" t="s">
        <v>870</v>
      </c>
      <c r="B294" s="88">
        <v>45159</v>
      </c>
      <c r="C294" t="s">
        <v>964</v>
      </c>
      <c r="D294" t="s">
        <v>8</v>
      </c>
      <c r="E294" t="s">
        <v>9</v>
      </c>
      <c r="F294" t="s">
        <v>545</v>
      </c>
      <c r="G294" t="s">
        <v>960</v>
      </c>
      <c r="H294" t="s">
        <v>60</v>
      </c>
      <c r="I294" t="s">
        <v>152</v>
      </c>
      <c r="J294">
        <v>2</v>
      </c>
      <c r="K294">
        <v>2023</v>
      </c>
      <c r="L294" t="s">
        <v>1265</v>
      </c>
    </row>
    <row r="295" spans="1:12" x14ac:dyDescent="0.2">
      <c r="A295" t="s">
        <v>631</v>
      </c>
      <c r="B295" s="88">
        <v>45159</v>
      </c>
      <c r="C295" t="s">
        <v>964</v>
      </c>
      <c r="D295" t="s">
        <v>8</v>
      </c>
      <c r="E295" t="s">
        <v>9</v>
      </c>
      <c r="F295" t="s">
        <v>545</v>
      </c>
      <c r="G295" t="s">
        <v>960</v>
      </c>
      <c r="H295" t="s">
        <v>60</v>
      </c>
      <c r="I295" t="s">
        <v>152</v>
      </c>
      <c r="J295">
        <v>3</v>
      </c>
      <c r="K295">
        <v>2023</v>
      </c>
      <c r="L295" t="s">
        <v>1266</v>
      </c>
    </row>
    <row r="296" spans="1:12" x14ac:dyDescent="0.2">
      <c r="A296" t="s">
        <v>871</v>
      </c>
      <c r="B296" s="88">
        <v>45159</v>
      </c>
      <c r="C296" t="s">
        <v>964</v>
      </c>
      <c r="D296" t="s">
        <v>8</v>
      </c>
      <c r="E296" t="s">
        <v>9</v>
      </c>
      <c r="F296" t="s">
        <v>545</v>
      </c>
      <c r="G296" t="s">
        <v>960</v>
      </c>
      <c r="H296" t="s">
        <v>36</v>
      </c>
      <c r="I296" t="s">
        <v>152</v>
      </c>
      <c r="J296">
        <v>1</v>
      </c>
      <c r="K296">
        <v>2023</v>
      </c>
      <c r="L296" t="s">
        <v>1267</v>
      </c>
    </row>
    <row r="297" spans="1:12" x14ac:dyDescent="0.2">
      <c r="A297" t="s">
        <v>872</v>
      </c>
      <c r="B297" s="88">
        <v>45159</v>
      </c>
      <c r="C297" t="s">
        <v>964</v>
      </c>
      <c r="D297" t="s">
        <v>8</v>
      </c>
      <c r="E297" t="s">
        <v>9</v>
      </c>
      <c r="F297" t="s">
        <v>545</v>
      </c>
      <c r="G297" t="s">
        <v>960</v>
      </c>
      <c r="H297" t="s">
        <v>36</v>
      </c>
      <c r="I297" t="s">
        <v>152</v>
      </c>
      <c r="J297">
        <v>2</v>
      </c>
      <c r="K297">
        <v>2023</v>
      </c>
      <c r="L297" t="s">
        <v>1268</v>
      </c>
    </row>
    <row r="298" spans="1:12" x14ac:dyDescent="0.2">
      <c r="A298" t="s">
        <v>635</v>
      </c>
      <c r="B298" s="88">
        <v>45159</v>
      </c>
      <c r="C298" t="s">
        <v>964</v>
      </c>
      <c r="D298" t="s">
        <v>8</v>
      </c>
      <c r="E298" t="s">
        <v>9</v>
      </c>
      <c r="F298" t="s">
        <v>545</v>
      </c>
      <c r="G298" t="s">
        <v>960</v>
      </c>
      <c r="H298" t="s">
        <v>36</v>
      </c>
      <c r="I298" t="s">
        <v>152</v>
      </c>
      <c r="J298">
        <v>3</v>
      </c>
      <c r="K298">
        <v>2023</v>
      </c>
      <c r="L298" t="s">
        <v>1269</v>
      </c>
    </row>
    <row r="299" spans="1:12" x14ac:dyDescent="0.2">
      <c r="A299" t="s">
        <v>873</v>
      </c>
      <c r="B299" s="88">
        <v>45159</v>
      </c>
      <c r="C299" t="s">
        <v>964</v>
      </c>
      <c r="D299" t="s">
        <v>8</v>
      </c>
      <c r="E299" t="s">
        <v>9</v>
      </c>
      <c r="F299" t="s">
        <v>545</v>
      </c>
      <c r="G299" t="s">
        <v>960</v>
      </c>
      <c r="H299" t="s">
        <v>45</v>
      </c>
      <c r="I299" t="s">
        <v>152</v>
      </c>
      <c r="J299">
        <v>1</v>
      </c>
      <c r="K299">
        <v>2023</v>
      </c>
      <c r="L299" t="s">
        <v>1270</v>
      </c>
    </row>
    <row r="300" spans="1:12" x14ac:dyDescent="0.2">
      <c r="A300" t="s">
        <v>874</v>
      </c>
      <c r="B300" s="88">
        <v>45159</v>
      </c>
      <c r="C300" t="s">
        <v>964</v>
      </c>
      <c r="D300" t="s">
        <v>8</v>
      </c>
      <c r="E300" t="s">
        <v>9</v>
      </c>
      <c r="F300" t="s">
        <v>545</v>
      </c>
      <c r="G300" t="s">
        <v>960</v>
      </c>
      <c r="H300" t="s">
        <v>45</v>
      </c>
      <c r="I300" t="s">
        <v>152</v>
      </c>
      <c r="J300">
        <v>2</v>
      </c>
      <c r="K300">
        <v>2023</v>
      </c>
      <c r="L300" t="s">
        <v>1271</v>
      </c>
    </row>
    <row r="301" spans="1:12" x14ac:dyDescent="0.2">
      <c r="A301" t="s">
        <v>639</v>
      </c>
      <c r="B301" s="88">
        <v>45159</v>
      </c>
      <c r="C301" t="s">
        <v>964</v>
      </c>
      <c r="D301" t="s">
        <v>8</v>
      </c>
      <c r="E301" t="s">
        <v>9</v>
      </c>
      <c r="F301" t="s">
        <v>545</v>
      </c>
      <c r="G301" t="s">
        <v>960</v>
      </c>
      <c r="H301" t="s">
        <v>45</v>
      </c>
      <c r="I301" t="s">
        <v>152</v>
      </c>
      <c r="J301">
        <v>3</v>
      </c>
      <c r="K301">
        <v>2023</v>
      </c>
      <c r="L301" t="s">
        <v>1272</v>
      </c>
    </row>
    <row r="302" spans="1:12" x14ac:dyDescent="0.2">
      <c r="A302" t="s">
        <v>875</v>
      </c>
      <c r="B302" s="88">
        <v>45159</v>
      </c>
      <c r="C302" t="s">
        <v>964</v>
      </c>
      <c r="D302" t="s">
        <v>8</v>
      </c>
      <c r="E302" t="s">
        <v>9</v>
      </c>
      <c r="F302" t="s">
        <v>545</v>
      </c>
      <c r="G302" t="s">
        <v>960</v>
      </c>
      <c r="H302" t="s">
        <v>62</v>
      </c>
      <c r="I302" t="s">
        <v>152</v>
      </c>
      <c r="J302">
        <v>1</v>
      </c>
      <c r="K302">
        <v>2023</v>
      </c>
      <c r="L302" t="s">
        <v>1273</v>
      </c>
    </row>
    <row r="303" spans="1:12" x14ac:dyDescent="0.2">
      <c r="A303" t="s">
        <v>876</v>
      </c>
      <c r="B303" s="88">
        <v>45159</v>
      </c>
      <c r="C303" t="s">
        <v>964</v>
      </c>
      <c r="D303" t="s">
        <v>8</v>
      </c>
      <c r="E303" t="s">
        <v>9</v>
      </c>
      <c r="F303" t="s">
        <v>545</v>
      </c>
      <c r="G303" t="s">
        <v>960</v>
      </c>
      <c r="H303" t="s">
        <v>62</v>
      </c>
      <c r="I303" t="s">
        <v>152</v>
      </c>
      <c r="J303">
        <v>2</v>
      </c>
      <c r="K303">
        <v>2023</v>
      </c>
      <c r="L303" t="s">
        <v>1274</v>
      </c>
    </row>
    <row r="304" spans="1:12" x14ac:dyDescent="0.2">
      <c r="A304" t="s">
        <v>695</v>
      </c>
      <c r="B304" s="88">
        <v>45159</v>
      </c>
      <c r="C304" t="s">
        <v>964</v>
      </c>
      <c r="D304" t="s">
        <v>8</v>
      </c>
      <c r="E304" t="s">
        <v>9</v>
      </c>
      <c r="F304" t="s">
        <v>545</v>
      </c>
      <c r="G304" t="s">
        <v>960</v>
      </c>
      <c r="H304" t="s">
        <v>62</v>
      </c>
      <c r="I304" t="s">
        <v>152</v>
      </c>
      <c r="J304">
        <v>3</v>
      </c>
      <c r="K304">
        <v>2023</v>
      </c>
      <c r="L304" t="s">
        <v>1275</v>
      </c>
    </row>
    <row r="305" spans="1:12" x14ac:dyDescent="0.2">
      <c r="A305" t="s">
        <v>877</v>
      </c>
      <c r="B305" s="88">
        <v>45159</v>
      </c>
      <c r="C305" t="s">
        <v>964</v>
      </c>
      <c r="D305" t="s">
        <v>90</v>
      </c>
      <c r="E305" t="s">
        <v>96</v>
      </c>
      <c r="F305" t="s">
        <v>546</v>
      </c>
      <c r="G305" t="s">
        <v>961</v>
      </c>
      <c r="H305" t="s">
        <v>51</v>
      </c>
      <c r="I305" t="s">
        <v>152</v>
      </c>
      <c r="J305">
        <v>1</v>
      </c>
      <c r="K305">
        <v>2023</v>
      </c>
      <c r="L305" t="s">
        <v>1276</v>
      </c>
    </row>
    <row r="306" spans="1:12" x14ac:dyDescent="0.2">
      <c r="A306" t="s">
        <v>878</v>
      </c>
      <c r="B306" s="88">
        <v>45159</v>
      </c>
      <c r="C306" t="s">
        <v>964</v>
      </c>
      <c r="D306" t="s">
        <v>90</v>
      </c>
      <c r="E306" t="s">
        <v>96</v>
      </c>
      <c r="F306" t="s">
        <v>546</v>
      </c>
      <c r="G306" t="s">
        <v>961</v>
      </c>
      <c r="H306" t="s">
        <v>51</v>
      </c>
      <c r="I306" t="s">
        <v>152</v>
      </c>
      <c r="J306">
        <v>2</v>
      </c>
      <c r="K306">
        <v>2023</v>
      </c>
      <c r="L306" t="s">
        <v>1277</v>
      </c>
    </row>
    <row r="307" spans="1:12" x14ac:dyDescent="0.2">
      <c r="A307" t="s">
        <v>706</v>
      </c>
      <c r="B307" s="88">
        <v>45159</v>
      </c>
      <c r="C307" t="s">
        <v>964</v>
      </c>
      <c r="D307" t="s">
        <v>90</v>
      </c>
      <c r="E307" t="s">
        <v>96</v>
      </c>
      <c r="F307" t="s">
        <v>546</v>
      </c>
      <c r="G307" t="s">
        <v>961</v>
      </c>
      <c r="H307" t="s">
        <v>51</v>
      </c>
      <c r="I307" t="s">
        <v>152</v>
      </c>
      <c r="J307">
        <v>3</v>
      </c>
      <c r="K307">
        <v>2023</v>
      </c>
      <c r="L307" t="s">
        <v>1278</v>
      </c>
    </row>
    <row r="308" spans="1:12" x14ac:dyDescent="0.2">
      <c r="A308" t="s">
        <v>879</v>
      </c>
      <c r="B308" s="88">
        <v>45159</v>
      </c>
      <c r="C308" t="s">
        <v>964</v>
      </c>
      <c r="D308" t="s">
        <v>90</v>
      </c>
      <c r="E308" t="s">
        <v>96</v>
      </c>
      <c r="F308" t="s">
        <v>546</v>
      </c>
      <c r="G308" t="s">
        <v>961</v>
      </c>
      <c r="H308" t="s">
        <v>60</v>
      </c>
      <c r="I308" t="s">
        <v>152</v>
      </c>
      <c r="J308">
        <v>1</v>
      </c>
      <c r="K308">
        <v>2023</v>
      </c>
      <c r="L308" t="s">
        <v>1279</v>
      </c>
    </row>
    <row r="309" spans="1:12" x14ac:dyDescent="0.2">
      <c r="A309" t="s">
        <v>880</v>
      </c>
      <c r="B309" s="88">
        <v>45159</v>
      </c>
      <c r="C309" t="s">
        <v>964</v>
      </c>
      <c r="D309" t="s">
        <v>90</v>
      </c>
      <c r="E309" t="s">
        <v>96</v>
      </c>
      <c r="F309" t="s">
        <v>546</v>
      </c>
      <c r="G309" t="s">
        <v>961</v>
      </c>
      <c r="H309" t="s">
        <v>60</v>
      </c>
      <c r="I309" t="s">
        <v>152</v>
      </c>
      <c r="J309">
        <v>2</v>
      </c>
      <c r="K309">
        <v>2023</v>
      </c>
      <c r="L309" t="s">
        <v>1280</v>
      </c>
    </row>
    <row r="310" spans="1:12" x14ac:dyDescent="0.2">
      <c r="A310" t="s">
        <v>643</v>
      </c>
      <c r="B310" s="88">
        <v>45159</v>
      </c>
      <c r="C310" t="s">
        <v>964</v>
      </c>
      <c r="D310" t="s">
        <v>90</v>
      </c>
      <c r="E310" t="s">
        <v>96</v>
      </c>
      <c r="F310" t="s">
        <v>546</v>
      </c>
      <c r="G310" t="s">
        <v>961</v>
      </c>
      <c r="H310" t="s">
        <v>60</v>
      </c>
      <c r="I310" t="s">
        <v>152</v>
      </c>
      <c r="J310">
        <v>3</v>
      </c>
      <c r="K310">
        <v>2023</v>
      </c>
      <c r="L310" t="s">
        <v>1281</v>
      </c>
    </row>
    <row r="311" spans="1:12" x14ac:dyDescent="0.2">
      <c r="A311" t="s">
        <v>881</v>
      </c>
      <c r="B311" s="88">
        <v>45159</v>
      </c>
      <c r="C311" t="s">
        <v>964</v>
      </c>
      <c r="D311" t="s">
        <v>90</v>
      </c>
      <c r="E311" t="s">
        <v>96</v>
      </c>
      <c r="F311" t="s">
        <v>546</v>
      </c>
      <c r="G311" t="s">
        <v>961</v>
      </c>
      <c r="H311" t="s">
        <v>45</v>
      </c>
      <c r="I311" t="s">
        <v>152</v>
      </c>
      <c r="J311">
        <v>1</v>
      </c>
      <c r="K311">
        <v>2023</v>
      </c>
      <c r="L311" t="s">
        <v>1282</v>
      </c>
    </row>
    <row r="312" spans="1:12" x14ac:dyDescent="0.2">
      <c r="A312" t="s">
        <v>882</v>
      </c>
      <c r="B312" s="88">
        <v>45159</v>
      </c>
      <c r="C312" t="s">
        <v>964</v>
      </c>
      <c r="D312" t="s">
        <v>90</v>
      </c>
      <c r="E312" t="s">
        <v>96</v>
      </c>
      <c r="F312" t="s">
        <v>546</v>
      </c>
      <c r="G312" t="s">
        <v>961</v>
      </c>
      <c r="H312" t="s">
        <v>45</v>
      </c>
      <c r="I312" t="s">
        <v>152</v>
      </c>
      <c r="J312">
        <v>2</v>
      </c>
      <c r="K312">
        <v>2023</v>
      </c>
      <c r="L312" t="s">
        <v>1283</v>
      </c>
    </row>
    <row r="313" spans="1:12" x14ac:dyDescent="0.2">
      <c r="A313" t="s">
        <v>647</v>
      </c>
      <c r="B313" s="88">
        <v>45159</v>
      </c>
      <c r="C313" t="s">
        <v>964</v>
      </c>
      <c r="D313" t="s">
        <v>90</v>
      </c>
      <c r="E313" t="s">
        <v>96</v>
      </c>
      <c r="F313" t="s">
        <v>546</v>
      </c>
      <c r="G313" t="s">
        <v>961</v>
      </c>
      <c r="H313" t="s">
        <v>45</v>
      </c>
      <c r="I313" t="s">
        <v>152</v>
      </c>
      <c r="J313">
        <v>3</v>
      </c>
      <c r="K313">
        <v>2023</v>
      </c>
      <c r="L313" t="s">
        <v>1284</v>
      </c>
    </row>
    <row r="314" spans="1:12" x14ac:dyDescent="0.2">
      <c r="A314" t="s">
        <v>883</v>
      </c>
      <c r="B314" s="88">
        <v>45159</v>
      </c>
      <c r="C314" t="s">
        <v>964</v>
      </c>
      <c r="D314" t="s">
        <v>90</v>
      </c>
      <c r="E314" t="s">
        <v>96</v>
      </c>
      <c r="F314" t="s">
        <v>546</v>
      </c>
      <c r="G314" t="s">
        <v>961</v>
      </c>
      <c r="H314" t="s">
        <v>62</v>
      </c>
      <c r="I314" t="s">
        <v>152</v>
      </c>
      <c r="J314">
        <v>1</v>
      </c>
      <c r="K314">
        <v>2023</v>
      </c>
      <c r="L314" t="s">
        <v>1285</v>
      </c>
    </row>
    <row r="315" spans="1:12" x14ac:dyDescent="0.2">
      <c r="A315" t="s">
        <v>884</v>
      </c>
      <c r="B315" s="88">
        <v>45159</v>
      </c>
      <c r="C315" t="s">
        <v>964</v>
      </c>
      <c r="D315" t="s">
        <v>90</v>
      </c>
      <c r="E315" t="s">
        <v>96</v>
      </c>
      <c r="F315" t="s">
        <v>546</v>
      </c>
      <c r="G315" t="s">
        <v>961</v>
      </c>
      <c r="H315" t="s">
        <v>62</v>
      </c>
      <c r="I315" t="s">
        <v>152</v>
      </c>
      <c r="J315">
        <v>2</v>
      </c>
      <c r="K315">
        <v>2023</v>
      </c>
      <c r="L315" t="s">
        <v>1286</v>
      </c>
    </row>
    <row r="316" spans="1:12" x14ac:dyDescent="0.2">
      <c r="A316" t="s">
        <v>699</v>
      </c>
      <c r="B316" s="88">
        <v>45159</v>
      </c>
      <c r="C316" t="s">
        <v>964</v>
      </c>
      <c r="D316" t="s">
        <v>90</v>
      </c>
      <c r="E316" t="s">
        <v>96</v>
      </c>
      <c r="F316" t="s">
        <v>546</v>
      </c>
      <c r="G316" t="s">
        <v>961</v>
      </c>
      <c r="H316" t="s">
        <v>62</v>
      </c>
      <c r="I316" t="s">
        <v>152</v>
      </c>
      <c r="J316">
        <v>3</v>
      </c>
      <c r="K316">
        <v>2023</v>
      </c>
      <c r="L316" t="s">
        <v>1287</v>
      </c>
    </row>
    <row r="317" spans="1:12" x14ac:dyDescent="0.2">
      <c r="A317" t="s">
        <v>885</v>
      </c>
      <c r="B317" s="88">
        <v>45159</v>
      </c>
      <c r="C317" t="s">
        <v>964</v>
      </c>
      <c r="D317" t="s">
        <v>549</v>
      </c>
      <c r="E317" t="s">
        <v>22</v>
      </c>
      <c r="F317" t="s">
        <v>547</v>
      </c>
      <c r="G317" t="s">
        <v>961</v>
      </c>
      <c r="H317" t="s">
        <v>43</v>
      </c>
      <c r="I317" t="s">
        <v>152</v>
      </c>
      <c r="J317">
        <v>1</v>
      </c>
      <c r="K317">
        <v>2023</v>
      </c>
      <c r="L317" t="s">
        <v>1288</v>
      </c>
    </row>
    <row r="318" spans="1:12" x14ac:dyDescent="0.2">
      <c r="A318" t="s">
        <v>886</v>
      </c>
      <c r="B318" s="88">
        <v>45159</v>
      </c>
      <c r="C318" t="s">
        <v>964</v>
      </c>
      <c r="D318" t="s">
        <v>549</v>
      </c>
      <c r="E318" t="s">
        <v>22</v>
      </c>
      <c r="F318" t="s">
        <v>547</v>
      </c>
      <c r="G318" t="s">
        <v>961</v>
      </c>
      <c r="H318" t="s">
        <v>43</v>
      </c>
      <c r="I318" t="s">
        <v>152</v>
      </c>
      <c r="J318">
        <v>2</v>
      </c>
      <c r="K318">
        <v>2023</v>
      </c>
      <c r="L318" t="s">
        <v>1289</v>
      </c>
    </row>
    <row r="319" spans="1:12" x14ac:dyDescent="0.2">
      <c r="A319" t="s">
        <v>724</v>
      </c>
      <c r="B319" s="88">
        <v>45159</v>
      </c>
      <c r="C319" t="s">
        <v>964</v>
      </c>
      <c r="D319" t="s">
        <v>549</v>
      </c>
      <c r="E319" t="s">
        <v>22</v>
      </c>
      <c r="F319" t="s">
        <v>547</v>
      </c>
      <c r="G319" t="s">
        <v>961</v>
      </c>
      <c r="H319" t="s">
        <v>43</v>
      </c>
      <c r="I319" t="s">
        <v>152</v>
      </c>
      <c r="J319">
        <v>3</v>
      </c>
      <c r="K319">
        <v>2023</v>
      </c>
      <c r="L319" t="s">
        <v>1290</v>
      </c>
    </row>
    <row r="320" spans="1:12" x14ac:dyDescent="0.2">
      <c r="A320" t="s">
        <v>887</v>
      </c>
      <c r="B320" s="88">
        <v>45159</v>
      </c>
      <c r="C320" t="s">
        <v>964</v>
      </c>
      <c r="D320" t="s">
        <v>549</v>
      </c>
      <c r="E320" t="s">
        <v>22</v>
      </c>
      <c r="F320" t="s">
        <v>547</v>
      </c>
      <c r="G320" t="s">
        <v>961</v>
      </c>
      <c r="H320" t="s">
        <v>74</v>
      </c>
      <c r="I320" t="s">
        <v>152</v>
      </c>
      <c r="J320">
        <v>1</v>
      </c>
      <c r="K320">
        <v>2023</v>
      </c>
      <c r="L320" t="s">
        <v>1291</v>
      </c>
    </row>
    <row r="321" spans="1:12" x14ac:dyDescent="0.2">
      <c r="A321" t="s">
        <v>888</v>
      </c>
      <c r="B321" s="88">
        <v>45159</v>
      </c>
      <c r="C321" t="s">
        <v>964</v>
      </c>
      <c r="D321" t="s">
        <v>549</v>
      </c>
      <c r="E321" t="s">
        <v>22</v>
      </c>
      <c r="F321" t="s">
        <v>547</v>
      </c>
      <c r="G321" t="s">
        <v>961</v>
      </c>
      <c r="H321" t="s">
        <v>74</v>
      </c>
      <c r="I321" t="s">
        <v>152</v>
      </c>
      <c r="J321">
        <v>2</v>
      </c>
      <c r="K321">
        <v>2023</v>
      </c>
      <c r="L321" t="s">
        <v>1292</v>
      </c>
    </row>
    <row r="322" spans="1:12" x14ac:dyDescent="0.2">
      <c r="A322" t="s">
        <v>732</v>
      </c>
      <c r="B322" s="88">
        <v>45159</v>
      </c>
      <c r="C322" t="s">
        <v>964</v>
      </c>
      <c r="D322" t="s">
        <v>549</v>
      </c>
      <c r="E322" t="s">
        <v>22</v>
      </c>
      <c r="F322" t="s">
        <v>547</v>
      </c>
      <c r="G322" t="s">
        <v>961</v>
      </c>
      <c r="H322" t="s">
        <v>74</v>
      </c>
      <c r="I322" t="s">
        <v>152</v>
      </c>
      <c r="J322">
        <v>3</v>
      </c>
      <c r="K322">
        <v>2023</v>
      </c>
      <c r="L322" t="s">
        <v>1293</v>
      </c>
    </row>
    <row r="323" spans="1:12" x14ac:dyDescent="0.2">
      <c r="A323" t="s">
        <v>889</v>
      </c>
      <c r="B323" s="88">
        <v>45159</v>
      </c>
      <c r="C323" t="s">
        <v>964</v>
      </c>
      <c r="D323" t="s">
        <v>549</v>
      </c>
      <c r="E323" t="s">
        <v>22</v>
      </c>
      <c r="F323" t="s">
        <v>547</v>
      </c>
      <c r="G323" t="s">
        <v>961</v>
      </c>
      <c r="H323" t="s">
        <v>51</v>
      </c>
      <c r="I323" t="s">
        <v>152</v>
      </c>
      <c r="J323">
        <v>1</v>
      </c>
      <c r="K323">
        <v>2023</v>
      </c>
      <c r="L323" t="s">
        <v>1294</v>
      </c>
    </row>
    <row r="324" spans="1:12" x14ac:dyDescent="0.2">
      <c r="A324" t="s">
        <v>890</v>
      </c>
      <c r="B324" s="88">
        <v>45159</v>
      </c>
      <c r="C324" t="s">
        <v>964</v>
      </c>
      <c r="D324" t="s">
        <v>549</v>
      </c>
      <c r="E324" t="s">
        <v>22</v>
      </c>
      <c r="F324" t="s">
        <v>547</v>
      </c>
      <c r="G324" t="s">
        <v>961</v>
      </c>
      <c r="H324" t="s">
        <v>51</v>
      </c>
      <c r="I324" t="s">
        <v>152</v>
      </c>
      <c r="J324">
        <v>2</v>
      </c>
      <c r="K324">
        <v>2023</v>
      </c>
      <c r="L324" t="s">
        <v>1295</v>
      </c>
    </row>
    <row r="325" spans="1:12" x14ac:dyDescent="0.2">
      <c r="A325" t="s">
        <v>740</v>
      </c>
      <c r="B325" s="88">
        <v>45159</v>
      </c>
      <c r="C325" t="s">
        <v>964</v>
      </c>
      <c r="D325" t="s">
        <v>549</v>
      </c>
      <c r="E325" t="s">
        <v>22</v>
      </c>
      <c r="F325" t="s">
        <v>547</v>
      </c>
      <c r="G325" t="s">
        <v>961</v>
      </c>
      <c r="H325" t="s">
        <v>51</v>
      </c>
      <c r="I325" t="s">
        <v>152</v>
      </c>
      <c r="J325">
        <v>3</v>
      </c>
      <c r="K325">
        <v>2023</v>
      </c>
      <c r="L325" t="s">
        <v>1296</v>
      </c>
    </row>
    <row r="326" spans="1:12" x14ac:dyDescent="0.2">
      <c r="A326" t="s">
        <v>891</v>
      </c>
      <c r="B326" s="88">
        <v>45159</v>
      </c>
      <c r="C326" t="s">
        <v>964</v>
      </c>
      <c r="D326" t="s">
        <v>549</v>
      </c>
      <c r="E326" t="s">
        <v>22</v>
      </c>
      <c r="F326" t="s">
        <v>547</v>
      </c>
      <c r="G326" t="s">
        <v>961</v>
      </c>
      <c r="H326" t="s">
        <v>60</v>
      </c>
      <c r="I326" t="s">
        <v>152</v>
      </c>
      <c r="J326">
        <v>1</v>
      </c>
      <c r="K326">
        <v>2023</v>
      </c>
      <c r="L326" t="s">
        <v>1297</v>
      </c>
    </row>
    <row r="327" spans="1:12" x14ac:dyDescent="0.2">
      <c r="A327" t="s">
        <v>892</v>
      </c>
      <c r="B327" s="88">
        <v>45159</v>
      </c>
      <c r="C327" t="s">
        <v>964</v>
      </c>
      <c r="D327" t="s">
        <v>549</v>
      </c>
      <c r="E327" t="s">
        <v>22</v>
      </c>
      <c r="F327" t="s">
        <v>547</v>
      </c>
      <c r="G327" t="s">
        <v>961</v>
      </c>
      <c r="H327" t="s">
        <v>60</v>
      </c>
      <c r="I327" t="s">
        <v>152</v>
      </c>
      <c r="J327">
        <v>2</v>
      </c>
      <c r="K327">
        <v>2023</v>
      </c>
      <c r="L327" t="s">
        <v>1298</v>
      </c>
    </row>
    <row r="328" spans="1:12" x14ac:dyDescent="0.2">
      <c r="A328" t="s">
        <v>651</v>
      </c>
      <c r="B328" s="88">
        <v>45159</v>
      </c>
      <c r="C328" t="s">
        <v>964</v>
      </c>
      <c r="D328" t="s">
        <v>549</v>
      </c>
      <c r="E328" t="s">
        <v>22</v>
      </c>
      <c r="F328" t="s">
        <v>547</v>
      </c>
      <c r="G328" t="s">
        <v>961</v>
      </c>
      <c r="H328" t="s">
        <v>60</v>
      </c>
      <c r="I328" t="s">
        <v>152</v>
      </c>
      <c r="J328">
        <v>3</v>
      </c>
      <c r="K328">
        <v>2023</v>
      </c>
      <c r="L328" t="s">
        <v>1299</v>
      </c>
    </row>
    <row r="329" spans="1:12" x14ac:dyDescent="0.2">
      <c r="A329" t="s">
        <v>893</v>
      </c>
      <c r="B329" s="88">
        <v>45159</v>
      </c>
      <c r="C329" t="s">
        <v>964</v>
      </c>
      <c r="D329" t="s">
        <v>549</v>
      </c>
      <c r="E329" t="s">
        <v>22</v>
      </c>
      <c r="F329" t="s">
        <v>547</v>
      </c>
      <c r="G329" t="s">
        <v>961</v>
      </c>
      <c r="H329" t="s">
        <v>36</v>
      </c>
      <c r="I329" t="s">
        <v>152</v>
      </c>
      <c r="J329">
        <v>1</v>
      </c>
      <c r="K329">
        <v>2023</v>
      </c>
      <c r="L329" t="s">
        <v>1300</v>
      </c>
    </row>
    <row r="330" spans="1:12" x14ac:dyDescent="0.2">
      <c r="A330" t="s">
        <v>894</v>
      </c>
      <c r="B330" s="88">
        <v>45159</v>
      </c>
      <c r="C330" t="s">
        <v>964</v>
      </c>
      <c r="D330" t="s">
        <v>549</v>
      </c>
      <c r="E330" t="s">
        <v>22</v>
      </c>
      <c r="F330" t="s">
        <v>547</v>
      </c>
      <c r="G330" t="s">
        <v>961</v>
      </c>
      <c r="H330" t="s">
        <v>36</v>
      </c>
      <c r="I330" t="s">
        <v>152</v>
      </c>
      <c r="J330">
        <v>2</v>
      </c>
      <c r="K330">
        <v>2023</v>
      </c>
      <c r="L330" t="s">
        <v>1301</v>
      </c>
    </row>
    <row r="331" spans="1:12" x14ac:dyDescent="0.2">
      <c r="A331" t="s">
        <v>655</v>
      </c>
      <c r="B331" s="88">
        <v>45159</v>
      </c>
      <c r="C331" t="s">
        <v>964</v>
      </c>
      <c r="D331" t="s">
        <v>549</v>
      </c>
      <c r="E331" t="s">
        <v>22</v>
      </c>
      <c r="F331" t="s">
        <v>547</v>
      </c>
      <c r="G331" t="s">
        <v>961</v>
      </c>
      <c r="H331" t="s">
        <v>36</v>
      </c>
      <c r="I331" t="s">
        <v>152</v>
      </c>
      <c r="J331">
        <v>3</v>
      </c>
      <c r="K331">
        <v>2023</v>
      </c>
      <c r="L331" t="s">
        <v>1302</v>
      </c>
    </row>
    <row r="332" spans="1:12" x14ac:dyDescent="0.2">
      <c r="A332" t="s">
        <v>895</v>
      </c>
      <c r="B332" s="88">
        <v>45159</v>
      </c>
      <c r="C332" t="s">
        <v>964</v>
      </c>
      <c r="D332" t="s">
        <v>549</v>
      </c>
      <c r="E332" t="s">
        <v>22</v>
      </c>
      <c r="F332" t="s">
        <v>547</v>
      </c>
      <c r="G332" t="s">
        <v>961</v>
      </c>
      <c r="H332" t="s">
        <v>34</v>
      </c>
      <c r="I332" t="s">
        <v>152</v>
      </c>
      <c r="J332">
        <v>1</v>
      </c>
      <c r="K332">
        <v>2023</v>
      </c>
      <c r="L332" t="s">
        <v>1303</v>
      </c>
    </row>
    <row r="333" spans="1:12" x14ac:dyDescent="0.2">
      <c r="A333" t="s">
        <v>896</v>
      </c>
      <c r="B333" s="88">
        <v>45159</v>
      </c>
      <c r="C333" t="s">
        <v>964</v>
      </c>
      <c r="D333" t="s">
        <v>549</v>
      </c>
      <c r="E333" t="s">
        <v>22</v>
      </c>
      <c r="F333" t="s">
        <v>547</v>
      </c>
      <c r="G333" t="s">
        <v>961</v>
      </c>
      <c r="H333" t="s">
        <v>34</v>
      </c>
      <c r="I333" t="s">
        <v>152</v>
      </c>
      <c r="J333">
        <v>2</v>
      </c>
      <c r="K333">
        <v>2023</v>
      </c>
      <c r="L333" t="s">
        <v>1304</v>
      </c>
    </row>
    <row r="334" spans="1:12" x14ac:dyDescent="0.2">
      <c r="A334" t="s">
        <v>659</v>
      </c>
      <c r="B334" s="88">
        <v>45159</v>
      </c>
      <c r="C334" t="s">
        <v>964</v>
      </c>
      <c r="D334" t="s">
        <v>549</v>
      </c>
      <c r="E334" t="s">
        <v>22</v>
      </c>
      <c r="F334" t="s">
        <v>547</v>
      </c>
      <c r="G334" t="s">
        <v>961</v>
      </c>
      <c r="H334" t="s">
        <v>34</v>
      </c>
      <c r="I334" t="s">
        <v>152</v>
      </c>
      <c r="J334">
        <v>3</v>
      </c>
      <c r="K334">
        <v>2023</v>
      </c>
      <c r="L334" t="s">
        <v>1305</v>
      </c>
    </row>
    <row r="335" spans="1:12" x14ac:dyDescent="0.2">
      <c r="A335" t="s">
        <v>897</v>
      </c>
      <c r="B335" s="88">
        <v>45161</v>
      </c>
      <c r="C335" t="s">
        <v>964</v>
      </c>
      <c r="D335" t="s">
        <v>552</v>
      </c>
      <c r="E335" t="s">
        <v>95</v>
      </c>
      <c r="F335" t="s">
        <v>543</v>
      </c>
      <c r="G335" t="s">
        <v>960</v>
      </c>
      <c r="H335" t="s">
        <v>43</v>
      </c>
      <c r="I335" t="s">
        <v>152</v>
      </c>
      <c r="J335">
        <v>1</v>
      </c>
      <c r="K335">
        <v>2023</v>
      </c>
      <c r="L335" t="s">
        <v>1306</v>
      </c>
    </row>
    <row r="336" spans="1:12" x14ac:dyDescent="0.2">
      <c r="A336" t="s">
        <v>898</v>
      </c>
      <c r="B336" s="88">
        <v>45161</v>
      </c>
      <c r="C336" t="s">
        <v>964</v>
      </c>
      <c r="D336" t="s">
        <v>552</v>
      </c>
      <c r="E336" t="s">
        <v>95</v>
      </c>
      <c r="F336" t="s">
        <v>543</v>
      </c>
      <c r="G336" t="s">
        <v>960</v>
      </c>
      <c r="H336" t="s">
        <v>43</v>
      </c>
      <c r="I336" t="s">
        <v>152</v>
      </c>
      <c r="J336">
        <v>2</v>
      </c>
      <c r="K336">
        <v>2023</v>
      </c>
      <c r="L336" t="s">
        <v>1307</v>
      </c>
    </row>
    <row r="337" spans="1:12" x14ac:dyDescent="0.2">
      <c r="A337" t="s">
        <v>759</v>
      </c>
      <c r="B337" s="88">
        <v>45161</v>
      </c>
      <c r="C337" t="s">
        <v>964</v>
      </c>
      <c r="D337" t="s">
        <v>552</v>
      </c>
      <c r="E337" t="s">
        <v>95</v>
      </c>
      <c r="F337" t="s">
        <v>543</v>
      </c>
      <c r="G337" t="s">
        <v>960</v>
      </c>
      <c r="H337" t="s">
        <v>43</v>
      </c>
      <c r="I337" t="s">
        <v>152</v>
      </c>
      <c r="J337">
        <v>3</v>
      </c>
      <c r="K337">
        <v>2023</v>
      </c>
      <c r="L337" t="s">
        <v>1308</v>
      </c>
    </row>
    <row r="338" spans="1:12" x14ac:dyDescent="0.2">
      <c r="A338" t="s">
        <v>899</v>
      </c>
      <c r="B338" s="88">
        <v>45161</v>
      </c>
      <c r="C338" t="s">
        <v>964</v>
      </c>
      <c r="D338" t="s">
        <v>552</v>
      </c>
      <c r="E338" t="s">
        <v>95</v>
      </c>
      <c r="F338" t="s">
        <v>543</v>
      </c>
      <c r="G338" t="s">
        <v>960</v>
      </c>
      <c r="H338" t="s">
        <v>51</v>
      </c>
      <c r="I338" t="s">
        <v>152</v>
      </c>
      <c r="J338">
        <v>1</v>
      </c>
      <c r="K338">
        <v>2023</v>
      </c>
      <c r="L338" t="s">
        <v>1309</v>
      </c>
    </row>
    <row r="339" spans="1:12" x14ac:dyDescent="0.2">
      <c r="A339" t="s">
        <v>900</v>
      </c>
      <c r="B339" s="88">
        <v>45161</v>
      </c>
      <c r="C339" t="s">
        <v>964</v>
      </c>
      <c r="D339" t="s">
        <v>552</v>
      </c>
      <c r="E339" t="s">
        <v>95</v>
      </c>
      <c r="F339" t="s">
        <v>543</v>
      </c>
      <c r="G339" t="s">
        <v>960</v>
      </c>
      <c r="H339" t="s">
        <v>51</v>
      </c>
      <c r="I339" t="s">
        <v>152</v>
      </c>
      <c r="J339">
        <v>2</v>
      </c>
      <c r="K339">
        <v>2023</v>
      </c>
      <c r="L339" t="s">
        <v>1310</v>
      </c>
    </row>
    <row r="340" spans="1:12" x14ac:dyDescent="0.2">
      <c r="A340" t="s">
        <v>764</v>
      </c>
      <c r="B340" s="88">
        <v>45161</v>
      </c>
      <c r="C340" t="s">
        <v>964</v>
      </c>
      <c r="D340" t="s">
        <v>552</v>
      </c>
      <c r="E340" t="s">
        <v>95</v>
      </c>
      <c r="F340" t="s">
        <v>543</v>
      </c>
      <c r="G340" t="s">
        <v>960</v>
      </c>
      <c r="H340" t="s">
        <v>51</v>
      </c>
      <c r="I340" t="s">
        <v>152</v>
      </c>
      <c r="J340">
        <v>3</v>
      </c>
      <c r="K340">
        <v>2023</v>
      </c>
      <c r="L340" t="s">
        <v>1311</v>
      </c>
    </row>
    <row r="341" spans="1:12" x14ac:dyDescent="0.2">
      <c r="A341" t="s">
        <v>901</v>
      </c>
      <c r="B341" s="88">
        <v>45161</v>
      </c>
      <c r="C341" t="s">
        <v>964</v>
      </c>
      <c r="D341" t="s">
        <v>552</v>
      </c>
      <c r="E341" t="s">
        <v>95</v>
      </c>
      <c r="F341" t="s">
        <v>543</v>
      </c>
      <c r="G341" t="s">
        <v>960</v>
      </c>
      <c r="H341" t="s">
        <v>60</v>
      </c>
      <c r="I341" t="s">
        <v>152</v>
      </c>
      <c r="J341">
        <v>1</v>
      </c>
      <c r="K341">
        <v>2023</v>
      </c>
      <c r="L341" t="s">
        <v>1312</v>
      </c>
    </row>
    <row r="342" spans="1:12" x14ac:dyDescent="0.2">
      <c r="A342" t="s">
        <v>902</v>
      </c>
      <c r="B342" s="88">
        <v>45161</v>
      </c>
      <c r="C342" t="s">
        <v>964</v>
      </c>
      <c r="D342" t="s">
        <v>552</v>
      </c>
      <c r="E342" t="s">
        <v>95</v>
      </c>
      <c r="F342" t="s">
        <v>543</v>
      </c>
      <c r="G342" t="s">
        <v>960</v>
      </c>
      <c r="H342" t="s">
        <v>60</v>
      </c>
      <c r="I342" t="s">
        <v>152</v>
      </c>
      <c r="J342">
        <v>2</v>
      </c>
      <c r="K342">
        <v>2023</v>
      </c>
      <c r="L342" t="s">
        <v>1313</v>
      </c>
    </row>
    <row r="343" spans="1:12" x14ac:dyDescent="0.2">
      <c r="A343" t="s">
        <v>662</v>
      </c>
      <c r="B343" s="88">
        <v>45161</v>
      </c>
      <c r="C343" t="s">
        <v>964</v>
      </c>
      <c r="D343" t="s">
        <v>552</v>
      </c>
      <c r="E343" t="s">
        <v>95</v>
      </c>
      <c r="F343" t="s">
        <v>543</v>
      </c>
      <c r="G343" t="s">
        <v>960</v>
      </c>
      <c r="H343" t="s">
        <v>60</v>
      </c>
      <c r="I343" t="s">
        <v>152</v>
      </c>
      <c r="J343">
        <v>3</v>
      </c>
      <c r="K343">
        <v>2023</v>
      </c>
      <c r="L343" t="s">
        <v>1314</v>
      </c>
    </row>
    <row r="344" spans="1:12" x14ac:dyDescent="0.2">
      <c r="A344" t="s">
        <v>903</v>
      </c>
      <c r="B344" s="88">
        <v>45161</v>
      </c>
      <c r="C344" t="s">
        <v>964</v>
      </c>
      <c r="D344" t="s">
        <v>552</v>
      </c>
      <c r="E344" t="s">
        <v>95</v>
      </c>
      <c r="F344" t="s">
        <v>543</v>
      </c>
      <c r="G344" t="s">
        <v>960</v>
      </c>
      <c r="H344" t="s">
        <v>36</v>
      </c>
      <c r="I344" t="s">
        <v>152</v>
      </c>
      <c r="J344">
        <v>1</v>
      </c>
      <c r="K344">
        <v>2023</v>
      </c>
      <c r="L344" t="s">
        <v>1315</v>
      </c>
    </row>
    <row r="345" spans="1:12" x14ac:dyDescent="0.2">
      <c r="A345" t="s">
        <v>904</v>
      </c>
      <c r="B345" s="88">
        <v>45161</v>
      </c>
      <c r="C345" t="s">
        <v>964</v>
      </c>
      <c r="D345" t="s">
        <v>552</v>
      </c>
      <c r="E345" t="s">
        <v>95</v>
      </c>
      <c r="F345" t="s">
        <v>543</v>
      </c>
      <c r="G345" t="s">
        <v>960</v>
      </c>
      <c r="H345" t="s">
        <v>36</v>
      </c>
      <c r="I345" t="s">
        <v>152</v>
      </c>
      <c r="J345">
        <v>2</v>
      </c>
      <c r="K345">
        <v>2023</v>
      </c>
      <c r="L345" t="s">
        <v>1316</v>
      </c>
    </row>
    <row r="346" spans="1:12" x14ac:dyDescent="0.2">
      <c r="A346" t="s">
        <v>665</v>
      </c>
      <c r="B346" s="88">
        <v>45161</v>
      </c>
      <c r="C346" t="s">
        <v>964</v>
      </c>
      <c r="D346" t="s">
        <v>552</v>
      </c>
      <c r="E346" t="s">
        <v>95</v>
      </c>
      <c r="F346" t="s">
        <v>543</v>
      </c>
      <c r="G346" t="s">
        <v>960</v>
      </c>
      <c r="H346" t="s">
        <v>36</v>
      </c>
      <c r="I346" t="s">
        <v>152</v>
      </c>
      <c r="J346">
        <v>3</v>
      </c>
      <c r="K346">
        <v>2023</v>
      </c>
      <c r="L346" t="s">
        <v>1317</v>
      </c>
    </row>
    <row r="347" spans="1:12" x14ac:dyDescent="0.2">
      <c r="A347" t="s">
        <v>905</v>
      </c>
      <c r="B347" s="88">
        <v>45161</v>
      </c>
      <c r="C347" t="s">
        <v>964</v>
      </c>
      <c r="D347" t="s">
        <v>552</v>
      </c>
      <c r="E347" t="s">
        <v>95</v>
      </c>
      <c r="F347" t="s">
        <v>543</v>
      </c>
      <c r="G347" t="s">
        <v>960</v>
      </c>
      <c r="H347" t="s">
        <v>45</v>
      </c>
      <c r="I347" t="s">
        <v>152</v>
      </c>
      <c r="J347">
        <v>1</v>
      </c>
      <c r="K347">
        <v>2023</v>
      </c>
      <c r="L347" t="s">
        <v>1318</v>
      </c>
    </row>
    <row r="348" spans="1:12" x14ac:dyDescent="0.2">
      <c r="A348" t="s">
        <v>906</v>
      </c>
      <c r="B348" s="88">
        <v>45161</v>
      </c>
      <c r="C348" t="s">
        <v>964</v>
      </c>
      <c r="D348" t="s">
        <v>552</v>
      </c>
      <c r="E348" t="s">
        <v>95</v>
      </c>
      <c r="F348" t="s">
        <v>543</v>
      </c>
      <c r="G348" t="s">
        <v>960</v>
      </c>
      <c r="H348" t="s">
        <v>45</v>
      </c>
      <c r="I348" t="s">
        <v>152</v>
      </c>
      <c r="J348">
        <v>2</v>
      </c>
      <c r="K348">
        <v>2023</v>
      </c>
      <c r="L348" t="s">
        <v>1319</v>
      </c>
    </row>
    <row r="349" spans="1:12" x14ac:dyDescent="0.2">
      <c r="A349" t="s">
        <v>668</v>
      </c>
      <c r="B349" s="88">
        <v>45161</v>
      </c>
      <c r="C349" t="s">
        <v>964</v>
      </c>
      <c r="D349" t="s">
        <v>552</v>
      </c>
      <c r="E349" t="s">
        <v>95</v>
      </c>
      <c r="F349" t="s">
        <v>543</v>
      </c>
      <c r="G349" t="s">
        <v>960</v>
      </c>
      <c r="H349" t="s">
        <v>45</v>
      </c>
      <c r="I349" t="s">
        <v>152</v>
      </c>
      <c r="J349">
        <v>3</v>
      </c>
      <c r="K349">
        <v>2023</v>
      </c>
      <c r="L349" t="s">
        <v>1320</v>
      </c>
    </row>
    <row r="350" spans="1:12" x14ac:dyDescent="0.2">
      <c r="A350" t="s">
        <v>907</v>
      </c>
      <c r="B350" s="88">
        <v>45161</v>
      </c>
      <c r="C350" t="s">
        <v>964</v>
      </c>
      <c r="D350" t="s">
        <v>550</v>
      </c>
      <c r="E350" t="s">
        <v>94</v>
      </c>
      <c r="F350" t="s">
        <v>544</v>
      </c>
      <c r="G350" t="s">
        <v>961</v>
      </c>
      <c r="H350" t="s">
        <v>43</v>
      </c>
      <c r="I350" t="s">
        <v>152</v>
      </c>
      <c r="J350">
        <v>1</v>
      </c>
      <c r="K350">
        <v>2023</v>
      </c>
      <c r="L350" t="s">
        <v>1321</v>
      </c>
    </row>
    <row r="351" spans="1:12" x14ac:dyDescent="0.2">
      <c r="A351" t="s">
        <v>908</v>
      </c>
      <c r="B351" s="88">
        <v>45161</v>
      </c>
      <c r="C351" t="s">
        <v>964</v>
      </c>
      <c r="D351" t="s">
        <v>550</v>
      </c>
      <c r="E351" t="s">
        <v>94</v>
      </c>
      <c r="F351" t="s">
        <v>544</v>
      </c>
      <c r="G351" t="s">
        <v>961</v>
      </c>
      <c r="H351" t="s">
        <v>43</v>
      </c>
      <c r="I351" t="s">
        <v>152</v>
      </c>
      <c r="J351">
        <v>2</v>
      </c>
      <c r="K351">
        <v>2023</v>
      </c>
      <c r="L351" t="s">
        <v>1322</v>
      </c>
    </row>
    <row r="352" spans="1:12" x14ac:dyDescent="0.2">
      <c r="A352" t="s">
        <v>909</v>
      </c>
      <c r="B352" s="88">
        <v>45161</v>
      </c>
      <c r="C352" t="s">
        <v>964</v>
      </c>
      <c r="D352" t="s">
        <v>550</v>
      </c>
      <c r="E352" t="s">
        <v>94</v>
      </c>
      <c r="F352" t="s">
        <v>544</v>
      </c>
      <c r="G352" t="s">
        <v>961</v>
      </c>
      <c r="H352" t="s">
        <v>43</v>
      </c>
      <c r="I352" t="s">
        <v>152</v>
      </c>
      <c r="J352">
        <v>3</v>
      </c>
      <c r="K352">
        <v>2023</v>
      </c>
      <c r="L352" t="s">
        <v>1323</v>
      </c>
    </row>
    <row r="353" spans="1:12" x14ac:dyDescent="0.2">
      <c r="A353" t="s">
        <v>910</v>
      </c>
      <c r="B353" s="88">
        <v>45161</v>
      </c>
      <c r="C353" t="s">
        <v>964</v>
      </c>
      <c r="D353" t="s">
        <v>550</v>
      </c>
      <c r="E353" t="s">
        <v>94</v>
      </c>
      <c r="F353" t="s">
        <v>544</v>
      </c>
      <c r="G353" t="s">
        <v>961</v>
      </c>
      <c r="H353" t="s">
        <v>51</v>
      </c>
      <c r="I353" t="s">
        <v>152</v>
      </c>
      <c r="J353">
        <v>1</v>
      </c>
      <c r="K353">
        <v>2023</v>
      </c>
      <c r="L353" t="s">
        <v>1324</v>
      </c>
    </row>
    <row r="354" spans="1:12" x14ac:dyDescent="0.2">
      <c r="A354" t="s">
        <v>911</v>
      </c>
      <c r="B354" s="88">
        <v>45161</v>
      </c>
      <c r="C354" t="s">
        <v>964</v>
      </c>
      <c r="D354" t="s">
        <v>550</v>
      </c>
      <c r="E354" t="s">
        <v>94</v>
      </c>
      <c r="F354" t="s">
        <v>544</v>
      </c>
      <c r="G354" t="s">
        <v>961</v>
      </c>
      <c r="H354" t="s">
        <v>51</v>
      </c>
      <c r="I354" t="s">
        <v>152</v>
      </c>
      <c r="J354">
        <v>2</v>
      </c>
      <c r="K354">
        <v>2023</v>
      </c>
      <c r="L354" t="s">
        <v>1325</v>
      </c>
    </row>
    <row r="355" spans="1:12" x14ac:dyDescent="0.2">
      <c r="A355" t="s">
        <v>912</v>
      </c>
      <c r="B355" s="88">
        <v>45161</v>
      </c>
      <c r="C355" t="s">
        <v>964</v>
      </c>
      <c r="D355" t="s">
        <v>550</v>
      </c>
      <c r="E355" t="s">
        <v>94</v>
      </c>
      <c r="F355" t="s">
        <v>544</v>
      </c>
      <c r="G355" t="s">
        <v>961</v>
      </c>
      <c r="H355" t="s">
        <v>51</v>
      </c>
      <c r="I355" t="s">
        <v>152</v>
      </c>
      <c r="J355">
        <v>3</v>
      </c>
      <c r="K355">
        <v>2023</v>
      </c>
      <c r="L355" t="s">
        <v>1326</v>
      </c>
    </row>
    <row r="356" spans="1:12" x14ac:dyDescent="0.2">
      <c r="A356" t="s">
        <v>913</v>
      </c>
      <c r="B356" s="88">
        <v>45161</v>
      </c>
      <c r="C356" t="s">
        <v>964</v>
      </c>
      <c r="D356" t="s">
        <v>550</v>
      </c>
      <c r="E356" t="s">
        <v>94</v>
      </c>
      <c r="F356" t="s">
        <v>544</v>
      </c>
      <c r="G356" t="s">
        <v>961</v>
      </c>
      <c r="H356" t="s">
        <v>60</v>
      </c>
      <c r="I356" t="s">
        <v>152</v>
      </c>
      <c r="J356">
        <v>1</v>
      </c>
      <c r="K356">
        <v>2023</v>
      </c>
      <c r="L356" t="s">
        <v>1327</v>
      </c>
    </row>
    <row r="357" spans="1:12" x14ac:dyDescent="0.2">
      <c r="A357" t="s">
        <v>914</v>
      </c>
      <c r="B357" s="88">
        <v>45161</v>
      </c>
      <c r="C357" t="s">
        <v>964</v>
      </c>
      <c r="D357" t="s">
        <v>550</v>
      </c>
      <c r="E357" t="s">
        <v>94</v>
      </c>
      <c r="F357" t="s">
        <v>544</v>
      </c>
      <c r="G357" t="s">
        <v>961</v>
      </c>
      <c r="H357" t="s">
        <v>60</v>
      </c>
      <c r="I357" t="s">
        <v>152</v>
      </c>
      <c r="J357">
        <v>2</v>
      </c>
      <c r="K357">
        <v>2023</v>
      </c>
      <c r="L357" t="s">
        <v>1328</v>
      </c>
    </row>
    <row r="358" spans="1:12" x14ac:dyDescent="0.2">
      <c r="A358" t="s">
        <v>671</v>
      </c>
      <c r="B358" s="88">
        <v>45161</v>
      </c>
      <c r="C358" t="s">
        <v>964</v>
      </c>
      <c r="D358" t="s">
        <v>550</v>
      </c>
      <c r="E358" t="s">
        <v>94</v>
      </c>
      <c r="F358" t="s">
        <v>544</v>
      </c>
      <c r="G358" t="s">
        <v>961</v>
      </c>
      <c r="H358" t="s">
        <v>60</v>
      </c>
      <c r="I358" t="s">
        <v>152</v>
      </c>
      <c r="J358">
        <v>3</v>
      </c>
      <c r="K358">
        <v>2023</v>
      </c>
      <c r="L358" t="s">
        <v>1329</v>
      </c>
    </row>
    <row r="359" spans="1:12" x14ac:dyDescent="0.2">
      <c r="A359" t="s">
        <v>915</v>
      </c>
      <c r="B359" s="88">
        <v>45161</v>
      </c>
      <c r="C359" t="s">
        <v>964</v>
      </c>
      <c r="D359" t="s">
        <v>550</v>
      </c>
      <c r="E359" t="s">
        <v>94</v>
      </c>
      <c r="F359" t="s">
        <v>544</v>
      </c>
      <c r="G359" t="s">
        <v>961</v>
      </c>
      <c r="H359" t="s">
        <v>36</v>
      </c>
      <c r="I359" t="s">
        <v>152</v>
      </c>
      <c r="J359">
        <v>1</v>
      </c>
      <c r="K359">
        <v>2023</v>
      </c>
      <c r="L359" t="s">
        <v>1330</v>
      </c>
    </row>
    <row r="360" spans="1:12" x14ac:dyDescent="0.2">
      <c r="A360" t="s">
        <v>916</v>
      </c>
      <c r="B360" s="88">
        <v>45161</v>
      </c>
      <c r="C360" t="s">
        <v>964</v>
      </c>
      <c r="D360" t="s">
        <v>550</v>
      </c>
      <c r="E360" t="s">
        <v>94</v>
      </c>
      <c r="F360" t="s">
        <v>544</v>
      </c>
      <c r="G360" t="s">
        <v>961</v>
      </c>
      <c r="H360" t="s">
        <v>36</v>
      </c>
      <c r="I360" t="s">
        <v>152</v>
      </c>
      <c r="J360">
        <v>2</v>
      </c>
      <c r="K360">
        <v>2023</v>
      </c>
      <c r="L360" t="s">
        <v>1331</v>
      </c>
    </row>
    <row r="361" spans="1:12" x14ac:dyDescent="0.2">
      <c r="A361" t="s">
        <v>674</v>
      </c>
      <c r="B361" s="88">
        <v>45161</v>
      </c>
      <c r="C361" t="s">
        <v>964</v>
      </c>
      <c r="D361" t="s">
        <v>550</v>
      </c>
      <c r="E361" t="s">
        <v>94</v>
      </c>
      <c r="F361" t="s">
        <v>544</v>
      </c>
      <c r="G361" t="s">
        <v>961</v>
      </c>
      <c r="H361" t="s">
        <v>36</v>
      </c>
      <c r="I361" t="s">
        <v>152</v>
      </c>
      <c r="J361">
        <v>3</v>
      </c>
      <c r="K361">
        <v>2023</v>
      </c>
      <c r="L361" t="s">
        <v>1332</v>
      </c>
    </row>
    <row r="362" spans="1:12" x14ac:dyDescent="0.2">
      <c r="A362" t="s">
        <v>917</v>
      </c>
      <c r="B362" s="88">
        <v>45161</v>
      </c>
      <c r="C362" t="s">
        <v>964</v>
      </c>
      <c r="D362" t="s">
        <v>550</v>
      </c>
      <c r="E362" t="s">
        <v>94</v>
      </c>
      <c r="F362" t="s">
        <v>544</v>
      </c>
      <c r="G362" t="s">
        <v>961</v>
      </c>
      <c r="H362" t="s">
        <v>45</v>
      </c>
      <c r="I362" t="s">
        <v>152</v>
      </c>
      <c r="J362">
        <v>1</v>
      </c>
      <c r="K362">
        <v>2023</v>
      </c>
      <c r="L362" t="s">
        <v>1333</v>
      </c>
    </row>
    <row r="363" spans="1:12" x14ac:dyDescent="0.2">
      <c r="A363" t="s">
        <v>918</v>
      </c>
      <c r="B363" s="88">
        <v>45161</v>
      </c>
      <c r="C363" t="s">
        <v>964</v>
      </c>
      <c r="D363" t="s">
        <v>550</v>
      </c>
      <c r="E363" t="s">
        <v>94</v>
      </c>
      <c r="F363" t="s">
        <v>544</v>
      </c>
      <c r="G363" t="s">
        <v>961</v>
      </c>
      <c r="H363" t="s">
        <v>45</v>
      </c>
      <c r="I363" t="s">
        <v>152</v>
      </c>
      <c r="J363">
        <v>2</v>
      </c>
      <c r="K363">
        <v>2023</v>
      </c>
      <c r="L363" t="s">
        <v>1334</v>
      </c>
    </row>
    <row r="364" spans="1:12" x14ac:dyDescent="0.2">
      <c r="A364" t="s">
        <v>677</v>
      </c>
      <c r="B364" s="88">
        <v>45161</v>
      </c>
      <c r="C364" t="s">
        <v>964</v>
      </c>
      <c r="D364" t="s">
        <v>550</v>
      </c>
      <c r="E364" t="s">
        <v>94</v>
      </c>
      <c r="F364" t="s">
        <v>544</v>
      </c>
      <c r="G364" t="s">
        <v>961</v>
      </c>
      <c r="H364" t="s">
        <v>45</v>
      </c>
      <c r="I364" t="s">
        <v>152</v>
      </c>
      <c r="J364">
        <v>3</v>
      </c>
      <c r="K364">
        <v>2023</v>
      </c>
      <c r="L364" t="s">
        <v>1335</v>
      </c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3FBA-B4A6-4379-9656-24921596C7E6}">
  <dimension ref="A1:M288"/>
  <sheetViews>
    <sheetView topLeftCell="A40" workbookViewId="0">
      <selection activeCell="A2" sqref="A2:A288"/>
    </sheetView>
  </sheetViews>
  <sheetFormatPr baseColWidth="10" defaultRowHeight="15" x14ac:dyDescent="0.2"/>
  <cols>
    <col min="1" max="1" width="29.83203125" customWidth="1"/>
    <col min="2" max="2" width="25.5" customWidth="1"/>
    <col min="3" max="3" width="10.5" bestFit="1" customWidth="1"/>
    <col min="4" max="4" width="7.1640625" bestFit="1" customWidth="1"/>
    <col min="5" max="5" width="29.83203125" bestFit="1" customWidth="1"/>
    <col min="6" max="7" width="5.33203125" bestFit="1" customWidth="1"/>
    <col min="8" max="8" width="12.83203125" bestFit="1" customWidth="1"/>
    <col min="9" max="9" width="10.83203125" bestFit="1" customWidth="1"/>
    <col min="10" max="10" width="7.1640625" bestFit="1" customWidth="1"/>
    <col min="11" max="11" width="8.83203125" bestFit="1" customWidth="1"/>
  </cols>
  <sheetData>
    <row r="1" spans="1:13" x14ac:dyDescent="0.2">
      <c r="A1" t="s">
        <v>1336</v>
      </c>
      <c r="B1" t="s">
        <v>170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959</v>
      </c>
      <c r="I1" t="s">
        <v>177</v>
      </c>
      <c r="J1" t="s">
        <v>178</v>
      </c>
      <c r="K1" t="s">
        <v>179</v>
      </c>
      <c r="L1" t="s">
        <v>972</v>
      </c>
      <c r="M1" t="s">
        <v>1336</v>
      </c>
    </row>
    <row r="2" spans="1:13" x14ac:dyDescent="0.2">
      <c r="A2" t="str">
        <f xml:space="preserve"> "2023-" &amp; B2&amp;"-16S"</f>
        <v>2023-1-ASB-CL-FL-1-16S</v>
      </c>
      <c r="B2" t="s">
        <v>556</v>
      </c>
      <c r="C2" s="88">
        <v>45061</v>
      </c>
      <c r="D2" t="s">
        <v>962</v>
      </c>
      <c r="E2" t="s">
        <v>551</v>
      </c>
      <c r="F2" t="s">
        <v>16</v>
      </c>
      <c r="G2" t="s">
        <v>548</v>
      </c>
      <c r="H2" t="s">
        <v>960</v>
      </c>
      <c r="I2" t="s">
        <v>43</v>
      </c>
      <c r="J2" t="s">
        <v>151</v>
      </c>
      <c r="K2">
        <v>1</v>
      </c>
      <c r="L2">
        <v>2023</v>
      </c>
      <c r="M2" t="s">
        <v>973</v>
      </c>
    </row>
    <row r="3" spans="1:13" x14ac:dyDescent="0.2">
      <c r="A3" t="str">
        <f t="shared" ref="A3:A66" si="0" xml:space="preserve"> "2023-" &amp; B3&amp;"-16S"</f>
        <v>2023-1-ASB-CL-LE-1-16S</v>
      </c>
      <c r="B3" t="s">
        <v>557</v>
      </c>
      <c r="C3" s="88">
        <v>45061</v>
      </c>
      <c r="D3" t="s">
        <v>962</v>
      </c>
      <c r="E3" t="s">
        <v>551</v>
      </c>
      <c r="F3" t="s">
        <v>16</v>
      </c>
      <c r="G3" t="s">
        <v>548</v>
      </c>
      <c r="H3" t="s">
        <v>960</v>
      </c>
      <c r="I3" t="s">
        <v>43</v>
      </c>
      <c r="J3" t="s">
        <v>152</v>
      </c>
      <c r="K3">
        <v>1</v>
      </c>
      <c r="L3">
        <v>2023</v>
      </c>
      <c r="M3" t="s">
        <v>974</v>
      </c>
    </row>
    <row r="4" spans="1:13" x14ac:dyDescent="0.2">
      <c r="A4" t="str">
        <f t="shared" si="0"/>
        <v>2023-1-ASB-CL-FL-2-16S</v>
      </c>
      <c r="B4" t="s">
        <v>560</v>
      </c>
      <c r="C4" s="88">
        <v>45061</v>
      </c>
      <c r="D4" t="s">
        <v>962</v>
      </c>
      <c r="E4" t="s">
        <v>551</v>
      </c>
      <c r="F4" t="s">
        <v>16</v>
      </c>
      <c r="G4" t="s">
        <v>548</v>
      </c>
      <c r="H4" t="s">
        <v>960</v>
      </c>
      <c r="I4" t="s">
        <v>43</v>
      </c>
      <c r="J4" t="s">
        <v>151</v>
      </c>
      <c r="K4">
        <v>2</v>
      </c>
      <c r="L4">
        <v>2023</v>
      </c>
      <c r="M4" t="s">
        <v>975</v>
      </c>
    </row>
    <row r="5" spans="1:13" x14ac:dyDescent="0.2">
      <c r="A5" t="str">
        <f t="shared" si="0"/>
        <v>2023-1-ASB-CL-LE-2-16S</v>
      </c>
      <c r="B5" t="s">
        <v>561</v>
      </c>
      <c r="C5" s="88">
        <v>45061</v>
      </c>
      <c r="D5" t="s">
        <v>962</v>
      </c>
      <c r="E5" t="s">
        <v>551</v>
      </c>
      <c r="F5" t="s">
        <v>16</v>
      </c>
      <c r="G5" t="s">
        <v>548</v>
      </c>
      <c r="H5" t="s">
        <v>960</v>
      </c>
      <c r="I5" t="s">
        <v>43</v>
      </c>
      <c r="J5" t="s">
        <v>152</v>
      </c>
      <c r="K5">
        <v>2</v>
      </c>
      <c r="L5">
        <v>2023</v>
      </c>
      <c r="M5" t="s">
        <v>976</v>
      </c>
    </row>
    <row r="6" spans="1:13" x14ac:dyDescent="0.2">
      <c r="A6" t="str">
        <f t="shared" si="0"/>
        <v>2023-1-ASB-CL-FL-3-16S</v>
      </c>
      <c r="B6" t="s">
        <v>562</v>
      </c>
      <c r="C6" s="88">
        <v>45061</v>
      </c>
      <c r="D6" t="s">
        <v>962</v>
      </c>
      <c r="E6" t="s">
        <v>551</v>
      </c>
      <c r="F6" t="s">
        <v>16</v>
      </c>
      <c r="G6" t="s">
        <v>548</v>
      </c>
      <c r="H6" t="s">
        <v>960</v>
      </c>
      <c r="I6" t="s">
        <v>43</v>
      </c>
      <c r="J6" t="s">
        <v>151</v>
      </c>
      <c r="K6">
        <v>3</v>
      </c>
      <c r="L6">
        <v>2023</v>
      </c>
      <c r="M6" t="s">
        <v>977</v>
      </c>
    </row>
    <row r="7" spans="1:13" x14ac:dyDescent="0.2">
      <c r="A7" t="str">
        <f t="shared" si="0"/>
        <v>2023-1-ASB-CL-LE-3-16S</v>
      </c>
      <c r="B7" t="s">
        <v>563</v>
      </c>
      <c r="C7" s="88">
        <v>45061</v>
      </c>
      <c r="D7" t="s">
        <v>962</v>
      </c>
      <c r="E7" t="s">
        <v>551</v>
      </c>
      <c r="F7" t="s">
        <v>16</v>
      </c>
      <c r="G7" t="s">
        <v>548</v>
      </c>
      <c r="H7" t="s">
        <v>960</v>
      </c>
      <c r="I7" t="s">
        <v>43</v>
      </c>
      <c r="J7" t="s">
        <v>152</v>
      </c>
      <c r="K7">
        <v>3</v>
      </c>
      <c r="L7">
        <v>2023</v>
      </c>
      <c r="M7" t="s">
        <v>978</v>
      </c>
    </row>
    <row r="8" spans="1:13" x14ac:dyDescent="0.2">
      <c r="A8" t="str">
        <f t="shared" si="0"/>
        <v>2023-1-ASB-PR-FL-1-16S</v>
      </c>
      <c r="B8" t="s">
        <v>564</v>
      </c>
      <c r="C8" s="88">
        <v>45061</v>
      </c>
      <c r="D8" t="s">
        <v>962</v>
      </c>
      <c r="E8" t="s">
        <v>551</v>
      </c>
      <c r="F8" t="s">
        <v>16</v>
      </c>
      <c r="G8" t="s">
        <v>548</v>
      </c>
      <c r="H8" t="s">
        <v>960</v>
      </c>
      <c r="I8" t="s">
        <v>74</v>
      </c>
      <c r="J8" t="s">
        <v>151</v>
      </c>
      <c r="K8">
        <v>1</v>
      </c>
      <c r="L8">
        <v>2023</v>
      </c>
      <c r="M8" t="s">
        <v>979</v>
      </c>
    </row>
    <row r="9" spans="1:13" x14ac:dyDescent="0.2">
      <c r="A9" t="str">
        <f t="shared" si="0"/>
        <v>2023-1-ASB-PR-LE-1-16S</v>
      </c>
      <c r="B9" t="s">
        <v>565</v>
      </c>
      <c r="C9" s="88">
        <v>45061</v>
      </c>
      <c r="D9" t="s">
        <v>962</v>
      </c>
      <c r="E9" t="s">
        <v>551</v>
      </c>
      <c r="F9" t="s">
        <v>16</v>
      </c>
      <c r="G9" t="s">
        <v>548</v>
      </c>
      <c r="H9" t="s">
        <v>960</v>
      </c>
      <c r="I9" t="s">
        <v>74</v>
      </c>
      <c r="J9" t="s">
        <v>152</v>
      </c>
      <c r="K9">
        <v>1</v>
      </c>
      <c r="L9">
        <v>2023</v>
      </c>
      <c r="M9" t="s">
        <v>980</v>
      </c>
    </row>
    <row r="10" spans="1:13" x14ac:dyDescent="0.2">
      <c r="A10" t="str">
        <f t="shared" si="0"/>
        <v>2023-1-ASB-PR-FL-2-16S</v>
      </c>
      <c r="B10" t="s">
        <v>572</v>
      </c>
      <c r="C10" s="88">
        <v>45061</v>
      </c>
      <c r="D10" t="s">
        <v>962</v>
      </c>
      <c r="E10" t="s">
        <v>551</v>
      </c>
      <c r="F10" t="s">
        <v>16</v>
      </c>
      <c r="G10" t="s">
        <v>548</v>
      </c>
      <c r="H10" t="s">
        <v>960</v>
      </c>
      <c r="I10" t="s">
        <v>74</v>
      </c>
      <c r="J10" t="s">
        <v>151</v>
      </c>
      <c r="K10">
        <v>2</v>
      </c>
      <c r="L10">
        <v>2023</v>
      </c>
      <c r="M10" t="s">
        <v>981</v>
      </c>
    </row>
    <row r="11" spans="1:13" x14ac:dyDescent="0.2">
      <c r="A11" t="str">
        <f t="shared" si="0"/>
        <v>2023-1-ASB-PR-LE-2-16S</v>
      </c>
      <c r="B11" t="s">
        <v>573</v>
      </c>
      <c r="C11" s="88">
        <v>45061</v>
      </c>
      <c r="D11" t="s">
        <v>962</v>
      </c>
      <c r="E11" t="s">
        <v>551</v>
      </c>
      <c r="F11" t="s">
        <v>16</v>
      </c>
      <c r="G11" t="s">
        <v>548</v>
      </c>
      <c r="H11" t="s">
        <v>960</v>
      </c>
      <c r="I11" t="s">
        <v>74</v>
      </c>
      <c r="J11" t="s">
        <v>152</v>
      </c>
      <c r="K11">
        <v>2</v>
      </c>
      <c r="L11">
        <v>2023</v>
      </c>
      <c r="M11" t="s">
        <v>982</v>
      </c>
    </row>
    <row r="12" spans="1:13" x14ac:dyDescent="0.2">
      <c r="A12" t="str">
        <f t="shared" si="0"/>
        <v>2023-1-ASB-PR-FL-3-16S</v>
      </c>
      <c r="B12" t="s">
        <v>574</v>
      </c>
      <c r="C12" s="88">
        <v>45061</v>
      </c>
      <c r="D12" t="s">
        <v>962</v>
      </c>
      <c r="E12" t="s">
        <v>551</v>
      </c>
      <c r="F12" t="s">
        <v>16</v>
      </c>
      <c r="G12" t="s">
        <v>548</v>
      </c>
      <c r="H12" t="s">
        <v>960</v>
      </c>
      <c r="I12" t="s">
        <v>74</v>
      </c>
      <c r="J12" t="s">
        <v>151</v>
      </c>
      <c r="K12">
        <v>3</v>
      </c>
      <c r="L12">
        <v>2023</v>
      </c>
      <c r="M12" t="s">
        <v>983</v>
      </c>
    </row>
    <row r="13" spans="1:13" x14ac:dyDescent="0.2">
      <c r="A13" t="str">
        <f t="shared" si="0"/>
        <v>2023-1-ASB-PR-LE-3-16S</v>
      </c>
      <c r="B13" t="s">
        <v>575</v>
      </c>
      <c r="C13" s="88">
        <v>45061</v>
      </c>
      <c r="D13" t="s">
        <v>962</v>
      </c>
      <c r="E13" t="s">
        <v>551</v>
      </c>
      <c r="F13" t="s">
        <v>16</v>
      </c>
      <c r="G13" t="s">
        <v>548</v>
      </c>
      <c r="H13" t="s">
        <v>960</v>
      </c>
      <c r="I13" t="s">
        <v>74</v>
      </c>
      <c r="J13" t="s">
        <v>152</v>
      </c>
      <c r="K13">
        <v>3</v>
      </c>
      <c r="L13">
        <v>2023</v>
      </c>
      <c r="M13" t="s">
        <v>984</v>
      </c>
    </row>
    <row r="14" spans="1:13" x14ac:dyDescent="0.2">
      <c r="A14" t="str">
        <f t="shared" si="0"/>
        <v>2023-1-ASB-LI-FL-1-16S</v>
      </c>
      <c r="B14" t="s">
        <v>584</v>
      </c>
      <c r="C14" s="88">
        <v>45061</v>
      </c>
      <c r="D14" t="s">
        <v>962</v>
      </c>
      <c r="E14" t="s">
        <v>551</v>
      </c>
      <c r="F14" t="s">
        <v>16</v>
      </c>
      <c r="G14" t="s">
        <v>548</v>
      </c>
      <c r="H14" t="s">
        <v>960</v>
      </c>
      <c r="I14" t="s">
        <v>36</v>
      </c>
      <c r="J14" t="s">
        <v>151</v>
      </c>
      <c r="K14">
        <v>1</v>
      </c>
      <c r="L14">
        <v>2023</v>
      </c>
      <c r="M14" t="s">
        <v>997</v>
      </c>
    </row>
    <row r="15" spans="1:13" x14ac:dyDescent="0.2">
      <c r="A15" t="str">
        <f t="shared" si="0"/>
        <v>2023-1-ASB-LI-LE-1-16S</v>
      </c>
      <c r="B15" t="s">
        <v>585</v>
      </c>
      <c r="C15" s="88">
        <v>45061</v>
      </c>
      <c r="D15" t="s">
        <v>962</v>
      </c>
      <c r="E15" t="s">
        <v>551</v>
      </c>
      <c r="F15" t="s">
        <v>16</v>
      </c>
      <c r="G15" t="s">
        <v>548</v>
      </c>
      <c r="H15" t="s">
        <v>960</v>
      </c>
      <c r="I15" t="s">
        <v>36</v>
      </c>
      <c r="J15" t="s">
        <v>152</v>
      </c>
      <c r="K15">
        <v>1</v>
      </c>
      <c r="L15">
        <v>2023</v>
      </c>
      <c r="M15" t="s">
        <v>998</v>
      </c>
    </row>
    <row r="16" spans="1:13" x14ac:dyDescent="0.2">
      <c r="A16" t="str">
        <f t="shared" si="0"/>
        <v>2023-1-ASB-LI-FL-2-16S</v>
      </c>
      <c r="B16" t="s">
        <v>596</v>
      </c>
      <c r="C16" s="88">
        <v>45061</v>
      </c>
      <c r="D16" t="s">
        <v>962</v>
      </c>
      <c r="E16" t="s">
        <v>551</v>
      </c>
      <c r="F16" t="s">
        <v>16</v>
      </c>
      <c r="G16" t="s">
        <v>548</v>
      </c>
      <c r="H16" t="s">
        <v>960</v>
      </c>
      <c r="I16" t="s">
        <v>36</v>
      </c>
      <c r="J16" t="s">
        <v>151</v>
      </c>
      <c r="K16">
        <v>2</v>
      </c>
      <c r="L16">
        <v>2023</v>
      </c>
      <c r="M16" t="s">
        <v>999</v>
      </c>
    </row>
    <row r="17" spans="1:13" x14ac:dyDescent="0.2">
      <c r="A17" t="str">
        <f t="shared" si="0"/>
        <v>2023-1-ASB-LI-LE-2-16S</v>
      </c>
      <c r="B17" t="s">
        <v>597</v>
      </c>
      <c r="C17" s="88">
        <v>45061</v>
      </c>
      <c r="D17" t="s">
        <v>962</v>
      </c>
      <c r="E17" t="s">
        <v>551</v>
      </c>
      <c r="F17" t="s">
        <v>16</v>
      </c>
      <c r="G17" t="s">
        <v>548</v>
      </c>
      <c r="H17" t="s">
        <v>960</v>
      </c>
      <c r="I17" t="s">
        <v>36</v>
      </c>
      <c r="J17" t="s">
        <v>152</v>
      </c>
      <c r="K17">
        <v>2</v>
      </c>
      <c r="L17">
        <v>2023</v>
      </c>
      <c r="M17" t="s">
        <v>1000</v>
      </c>
    </row>
    <row r="18" spans="1:13" x14ac:dyDescent="0.2">
      <c r="A18" t="str">
        <f t="shared" si="0"/>
        <v>2023-1-ASB-LI-FL-3-16S</v>
      </c>
      <c r="B18" t="s">
        <v>598</v>
      </c>
      <c r="C18" s="88">
        <v>45061</v>
      </c>
      <c r="D18" t="s">
        <v>962</v>
      </c>
      <c r="E18" t="s">
        <v>551</v>
      </c>
      <c r="F18" t="s">
        <v>16</v>
      </c>
      <c r="G18" t="s">
        <v>548</v>
      </c>
      <c r="H18" t="s">
        <v>960</v>
      </c>
      <c r="I18" t="s">
        <v>36</v>
      </c>
      <c r="J18" t="s">
        <v>151</v>
      </c>
      <c r="K18">
        <v>3</v>
      </c>
      <c r="L18">
        <v>2023</v>
      </c>
      <c r="M18" t="s">
        <v>1001</v>
      </c>
    </row>
    <row r="19" spans="1:13" x14ac:dyDescent="0.2">
      <c r="A19" t="str">
        <f t="shared" si="0"/>
        <v>2023-1-ASB-LI-LE-3-16S</v>
      </c>
      <c r="B19" t="s">
        <v>599</v>
      </c>
      <c r="C19" s="88">
        <v>45061</v>
      </c>
      <c r="D19" t="s">
        <v>962</v>
      </c>
      <c r="E19" t="s">
        <v>551</v>
      </c>
      <c r="F19" t="s">
        <v>16</v>
      </c>
      <c r="G19" t="s">
        <v>548</v>
      </c>
      <c r="H19" t="s">
        <v>960</v>
      </c>
      <c r="I19" t="s">
        <v>36</v>
      </c>
      <c r="J19" t="s">
        <v>152</v>
      </c>
      <c r="K19">
        <v>3</v>
      </c>
      <c r="L19">
        <v>2023</v>
      </c>
      <c r="M19" t="s">
        <v>1002</v>
      </c>
    </row>
    <row r="20" spans="1:13" x14ac:dyDescent="0.2">
      <c r="A20" t="str">
        <f t="shared" si="0"/>
        <v>2023-1-PMB-CL-FL-1-16S</v>
      </c>
      <c r="B20" t="s">
        <v>604</v>
      </c>
      <c r="C20" s="88">
        <v>45061</v>
      </c>
      <c r="D20" t="s">
        <v>962</v>
      </c>
      <c r="E20" t="s">
        <v>8</v>
      </c>
      <c r="F20" t="s">
        <v>9</v>
      </c>
      <c r="G20" t="s">
        <v>545</v>
      </c>
      <c r="H20" t="s">
        <v>960</v>
      </c>
      <c r="I20" t="s">
        <v>43</v>
      </c>
      <c r="J20" t="s">
        <v>151</v>
      </c>
      <c r="K20">
        <v>1</v>
      </c>
      <c r="L20">
        <v>2023</v>
      </c>
      <c r="M20" t="s">
        <v>1009</v>
      </c>
    </row>
    <row r="21" spans="1:13" x14ac:dyDescent="0.2">
      <c r="A21" t="str">
        <f t="shared" si="0"/>
        <v>2023-1-PMB-CL-LE-1-16S</v>
      </c>
      <c r="B21" t="s">
        <v>605</v>
      </c>
      <c r="C21" s="88">
        <v>45061</v>
      </c>
      <c r="D21" t="s">
        <v>962</v>
      </c>
      <c r="E21" t="s">
        <v>8</v>
      </c>
      <c r="F21" t="s">
        <v>9</v>
      </c>
      <c r="G21" t="s">
        <v>545</v>
      </c>
      <c r="H21" t="s">
        <v>960</v>
      </c>
      <c r="I21" t="s">
        <v>43</v>
      </c>
      <c r="J21" t="s">
        <v>152</v>
      </c>
      <c r="K21">
        <v>1</v>
      </c>
      <c r="L21">
        <v>2023</v>
      </c>
      <c r="M21" t="s">
        <v>1010</v>
      </c>
    </row>
    <row r="22" spans="1:13" x14ac:dyDescent="0.2">
      <c r="A22" t="str">
        <f t="shared" si="0"/>
        <v>2023-1-PMB-CL-FL-2-16S</v>
      </c>
      <c r="B22" t="s">
        <v>608</v>
      </c>
      <c r="C22" s="88">
        <v>45061</v>
      </c>
      <c r="D22" t="s">
        <v>962</v>
      </c>
      <c r="E22" t="s">
        <v>8</v>
      </c>
      <c r="F22" t="s">
        <v>9</v>
      </c>
      <c r="G22" t="s">
        <v>545</v>
      </c>
      <c r="H22" t="s">
        <v>960</v>
      </c>
      <c r="I22" t="s">
        <v>43</v>
      </c>
      <c r="J22" t="s">
        <v>151</v>
      </c>
      <c r="K22">
        <v>2</v>
      </c>
      <c r="L22">
        <v>2023</v>
      </c>
      <c r="M22" t="s">
        <v>1011</v>
      </c>
    </row>
    <row r="23" spans="1:13" x14ac:dyDescent="0.2">
      <c r="A23" t="str">
        <f t="shared" si="0"/>
        <v>2023-1-PMB-CL-LE-2-16S</v>
      </c>
      <c r="B23" t="s">
        <v>609</v>
      </c>
      <c r="C23" s="88">
        <v>45061</v>
      </c>
      <c r="D23" t="s">
        <v>962</v>
      </c>
      <c r="E23" t="s">
        <v>8</v>
      </c>
      <c r="F23" t="s">
        <v>9</v>
      </c>
      <c r="G23" t="s">
        <v>545</v>
      </c>
      <c r="H23" t="s">
        <v>960</v>
      </c>
      <c r="I23" t="s">
        <v>43</v>
      </c>
      <c r="J23" t="s">
        <v>152</v>
      </c>
      <c r="K23">
        <v>2</v>
      </c>
      <c r="L23">
        <v>2023</v>
      </c>
      <c r="M23" t="s">
        <v>1012</v>
      </c>
    </row>
    <row r="24" spans="1:13" x14ac:dyDescent="0.2">
      <c r="A24" t="str">
        <f t="shared" si="0"/>
        <v>2023-1-PMB-CL-FL-3-16S</v>
      </c>
      <c r="B24" t="s">
        <v>610</v>
      </c>
      <c r="C24" s="88">
        <v>45061</v>
      </c>
      <c r="D24" t="s">
        <v>962</v>
      </c>
      <c r="E24" t="s">
        <v>8</v>
      </c>
      <c r="F24" t="s">
        <v>9</v>
      </c>
      <c r="G24" t="s">
        <v>545</v>
      </c>
      <c r="H24" t="s">
        <v>960</v>
      </c>
      <c r="I24" t="s">
        <v>43</v>
      </c>
      <c r="J24" t="s">
        <v>151</v>
      </c>
      <c r="K24">
        <v>3</v>
      </c>
      <c r="L24">
        <v>2023</v>
      </c>
      <c r="M24" t="s">
        <v>1013</v>
      </c>
    </row>
    <row r="25" spans="1:13" x14ac:dyDescent="0.2">
      <c r="A25" t="str">
        <f t="shared" si="0"/>
        <v>2023-1-PMB-CL-LE-3-16S</v>
      </c>
      <c r="B25" t="s">
        <v>611</v>
      </c>
      <c r="C25" s="88">
        <v>45061</v>
      </c>
      <c r="D25" t="s">
        <v>962</v>
      </c>
      <c r="E25" t="s">
        <v>8</v>
      </c>
      <c r="F25" t="s">
        <v>9</v>
      </c>
      <c r="G25" t="s">
        <v>545</v>
      </c>
      <c r="H25" t="s">
        <v>960</v>
      </c>
      <c r="I25" t="s">
        <v>43</v>
      </c>
      <c r="J25" t="s">
        <v>152</v>
      </c>
      <c r="K25">
        <v>3</v>
      </c>
      <c r="L25">
        <v>2023</v>
      </c>
      <c r="M25" t="s">
        <v>1014</v>
      </c>
    </row>
    <row r="26" spans="1:13" x14ac:dyDescent="0.2">
      <c r="A26" t="str">
        <f t="shared" si="0"/>
        <v>2023-1-PMB-PR-FL-1-16S</v>
      </c>
      <c r="B26" t="s">
        <v>612</v>
      </c>
      <c r="C26" s="88">
        <v>45061</v>
      </c>
      <c r="D26" t="s">
        <v>962</v>
      </c>
      <c r="E26" t="s">
        <v>8</v>
      </c>
      <c r="F26" t="s">
        <v>9</v>
      </c>
      <c r="G26" t="s">
        <v>545</v>
      </c>
      <c r="H26" t="s">
        <v>960</v>
      </c>
      <c r="I26" t="s">
        <v>74</v>
      </c>
      <c r="J26" t="s">
        <v>151</v>
      </c>
      <c r="K26">
        <v>1</v>
      </c>
      <c r="L26">
        <v>2023</v>
      </c>
      <c r="M26" t="s">
        <v>1015</v>
      </c>
    </row>
    <row r="27" spans="1:13" x14ac:dyDescent="0.2">
      <c r="A27" t="str">
        <f t="shared" si="0"/>
        <v>2023-1-PMP-PR-LE-1-16S</v>
      </c>
      <c r="B27" t="s">
        <v>615</v>
      </c>
      <c r="C27" s="88">
        <v>45061</v>
      </c>
      <c r="D27" t="s">
        <v>962</v>
      </c>
      <c r="E27" t="s">
        <v>8</v>
      </c>
      <c r="F27" t="s">
        <v>9</v>
      </c>
      <c r="G27" t="s">
        <v>545</v>
      </c>
      <c r="H27" t="s">
        <v>960</v>
      </c>
      <c r="I27" t="s">
        <v>74</v>
      </c>
      <c r="J27" t="s">
        <v>152</v>
      </c>
      <c r="K27">
        <v>1</v>
      </c>
      <c r="L27">
        <v>2023</v>
      </c>
      <c r="M27" t="s">
        <v>1016</v>
      </c>
    </row>
    <row r="28" spans="1:13" x14ac:dyDescent="0.2">
      <c r="A28" t="str">
        <f t="shared" si="0"/>
        <v>2023-1-PMB-PR-FL-2-16S</v>
      </c>
      <c r="B28" t="s">
        <v>616</v>
      </c>
      <c r="C28" s="88">
        <v>45061</v>
      </c>
      <c r="D28" t="s">
        <v>962</v>
      </c>
      <c r="E28" t="s">
        <v>8</v>
      </c>
      <c r="F28" t="s">
        <v>9</v>
      </c>
      <c r="G28" t="s">
        <v>545</v>
      </c>
      <c r="H28" t="s">
        <v>960</v>
      </c>
      <c r="I28" t="s">
        <v>74</v>
      </c>
      <c r="J28" t="s">
        <v>151</v>
      </c>
      <c r="K28">
        <v>2</v>
      </c>
      <c r="L28">
        <v>2023</v>
      </c>
      <c r="M28" t="s">
        <v>1017</v>
      </c>
    </row>
    <row r="29" spans="1:13" x14ac:dyDescent="0.2">
      <c r="A29" t="str">
        <f t="shared" si="0"/>
        <v>2023-1-PMP-PR-LE-2-16S</v>
      </c>
      <c r="B29" t="s">
        <v>617</v>
      </c>
      <c r="C29" s="88">
        <v>45061</v>
      </c>
      <c r="D29" t="s">
        <v>962</v>
      </c>
      <c r="E29" t="s">
        <v>8</v>
      </c>
      <c r="F29" t="s">
        <v>9</v>
      </c>
      <c r="G29" t="s">
        <v>545</v>
      </c>
      <c r="H29" t="s">
        <v>960</v>
      </c>
      <c r="I29" t="s">
        <v>74</v>
      </c>
      <c r="J29" t="s">
        <v>152</v>
      </c>
      <c r="K29">
        <v>2</v>
      </c>
      <c r="L29">
        <v>2023</v>
      </c>
      <c r="M29" t="s">
        <v>1018</v>
      </c>
    </row>
    <row r="30" spans="1:13" x14ac:dyDescent="0.2">
      <c r="A30" t="str">
        <f t="shared" si="0"/>
        <v>2023-1-PMB-PR-FL-3-16S</v>
      </c>
      <c r="B30" t="s">
        <v>618</v>
      </c>
      <c r="C30" s="88">
        <v>45061</v>
      </c>
      <c r="D30" t="s">
        <v>962</v>
      </c>
      <c r="E30" t="s">
        <v>8</v>
      </c>
      <c r="F30" t="s">
        <v>9</v>
      </c>
      <c r="G30" t="s">
        <v>545</v>
      </c>
      <c r="H30" t="s">
        <v>960</v>
      </c>
      <c r="I30" t="s">
        <v>74</v>
      </c>
      <c r="J30" t="s">
        <v>151</v>
      </c>
      <c r="K30">
        <v>3</v>
      </c>
      <c r="L30">
        <v>2023</v>
      </c>
      <c r="M30" t="s">
        <v>1019</v>
      </c>
    </row>
    <row r="31" spans="1:13" x14ac:dyDescent="0.2">
      <c r="A31" t="str">
        <f t="shared" si="0"/>
        <v>2023-1-PMB-PR-LE-3-16S</v>
      </c>
      <c r="B31" t="s">
        <v>619</v>
      </c>
      <c r="C31" s="88">
        <v>45061</v>
      </c>
      <c r="D31" t="s">
        <v>962</v>
      </c>
      <c r="E31" t="s">
        <v>8</v>
      </c>
      <c r="F31" t="s">
        <v>9</v>
      </c>
      <c r="G31" t="s">
        <v>545</v>
      </c>
      <c r="H31" t="s">
        <v>960</v>
      </c>
      <c r="I31" t="s">
        <v>74</v>
      </c>
      <c r="J31" t="s">
        <v>152</v>
      </c>
      <c r="K31">
        <v>3</v>
      </c>
      <c r="L31">
        <v>2023</v>
      </c>
      <c r="M31" t="s">
        <v>1020</v>
      </c>
    </row>
    <row r="32" spans="1:13" x14ac:dyDescent="0.2">
      <c r="A32" t="str">
        <f t="shared" si="0"/>
        <v>2023-1-PMB-LI-FL-1-16S</v>
      </c>
      <c r="B32" t="s">
        <v>632</v>
      </c>
      <c r="C32" s="88">
        <v>45061</v>
      </c>
      <c r="D32" t="s">
        <v>962</v>
      </c>
      <c r="E32" t="s">
        <v>8</v>
      </c>
      <c r="F32" t="s">
        <v>9</v>
      </c>
      <c r="G32" t="s">
        <v>545</v>
      </c>
      <c r="H32" t="s">
        <v>960</v>
      </c>
      <c r="I32" t="s">
        <v>36</v>
      </c>
      <c r="J32" t="s">
        <v>151</v>
      </c>
      <c r="K32">
        <v>1</v>
      </c>
      <c r="L32">
        <v>2023</v>
      </c>
      <c r="M32" t="s">
        <v>1033</v>
      </c>
    </row>
    <row r="33" spans="1:13" x14ac:dyDescent="0.2">
      <c r="A33" t="str">
        <f t="shared" si="0"/>
        <v>2023-1-PMB-LI-LE-1-16S</v>
      </c>
      <c r="B33" t="s">
        <v>633</v>
      </c>
      <c r="C33" s="88">
        <v>45061</v>
      </c>
      <c r="D33" t="s">
        <v>962</v>
      </c>
      <c r="E33" t="s">
        <v>8</v>
      </c>
      <c r="F33" t="s">
        <v>9</v>
      </c>
      <c r="G33" t="s">
        <v>545</v>
      </c>
      <c r="H33" t="s">
        <v>960</v>
      </c>
      <c r="I33" t="s">
        <v>36</v>
      </c>
      <c r="J33" t="s">
        <v>152</v>
      </c>
      <c r="K33">
        <v>1</v>
      </c>
      <c r="L33">
        <v>2023</v>
      </c>
      <c r="M33" t="s">
        <v>1034</v>
      </c>
    </row>
    <row r="34" spans="1:13" x14ac:dyDescent="0.2">
      <c r="A34" t="str">
        <f t="shared" si="0"/>
        <v>2023-1-PMB-LI-FL-2-16S</v>
      </c>
      <c r="B34" t="s">
        <v>682</v>
      </c>
      <c r="C34" s="88">
        <v>45061</v>
      </c>
      <c r="D34" t="s">
        <v>962</v>
      </c>
      <c r="E34" t="s">
        <v>8</v>
      </c>
      <c r="F34" t="s">
        <v>9</v>
      </c>
      <c r="G34" t="s">
        <v>545</v>
      </c>
      <c r="H34" t="s">
        <v>960</v>
      </c>
      <c r="I34" t="s">
        <v>36</v>
      </c>
      <c r="J34" t="s">
        <v>151</v>
      </c>
      <c r="K34">
        <v>2</v>
      </c>
      <c r="L34">
        <v>2023</v>
      </c>
      <c r="M34" t="s">
        <v>1035</v>
      </c>
    </row>
    <row r="35" spans="1:13" x14ac:dyDescent="0.2">
      <c r="A35" t="str">
        <f t="shared" si="0"/>
        <v>2023-1-PMB-LI-LE-2-16S</v>
      </c>
      <c r="B35" t="s">
        <v>683</v>
      </c>
      <c r="C35" s="88">
        <v>45061</v>
      </c>
      <c r="D35" t="s">
        <v>962</v>
      </c>
      <c r="E35" t="s">
        <v>8</v>
      </c>
      <c r="F35" t="s">
        <v>9</v>
      </c>
      <c r="G35" t="s">
        <v>545</v>
      </c>
      <c r="H35" t="s">
        <v>960</v>
      </c>
      <c r="I35" t="s">
        <v>36</v>
      </c>
      <c r="J35" t="s">
        <v>152</v>
      </c>
      <c r="K35">
        <v>2</v>
      </c>
      <c r="L35">
        <v>2023</v>
      </c>
      <c r="M35" t="s">
        <v>1036</v>
      </c>
    </row>
    <row r="36" spans="1:13" x14ac:dyDescent="0.2">
      <c r="A36" t="str">
        <f t="shared" si="0"/>
        <v>2023-1-PMB-LI-FL-3-16S</v>
      </c>
      <c r="B36" t="s">
        <v>684</v>
      </c>
      <c r="C36" s="88">
        <v>45061</v>
      </c>
      <c r="D36" t="s">
        <v>962</v>
      </c>
      <c r="E36" t="s">
        <v>8</v>
      </c>
      <c r="F36" t="s">
        <v>9</v>
      </c>
      <c r="G36" t="s">
        <v>545</v>
      </c>
      <c r="H36" t="s">
        <v>960</v>
      </c>
      <c r="I36" t="s">
        <v>36</v>
      </c>
      <c r="J36" t="s">
        <v>151</v>
      </c>
      <c r="K36">
        <v>3</v>
      </c>
      <c r="L36">
        <v>2023</v>
      </c>
      <c r="M36" t="s">
        <v>1037</v>
      </c>
    </row>
    <row r="37" spans="1:13" x14ac:dyDescent="0.2">
      <c r="A37" t="str">
        <f t="shared" si="0"/>
        <v>2023-1-PMB-LI-LE-3-16S</v>
      </c>
      <c r="B37" t="s">
        <v>685</v>
      </c>
      <c r="C37" s="88">
        <v>45061</v>
      </c>
      <c r="D37" t="s">
        <v>962</v>
      </c>
      <c r="E37" t="s">
        <v>8</v>
      </c>
      <c r="F37" t="s">
        <v>9</v>
      </c>
      <c r="G37" t="s">
        <v>545</v>
      </c>
      <c r="H37" t="s">
        <v>960</v>
      </c>
      <c r="I37" t="s">
        <v>36</v>
      </c>
      <c r="J37" t="s">
        <v>152</v>
      </c>
      <c r="K37">
        <v>3</v>
      </c>
      <c r="L37">
        <v>2023</v>
      </c>
      <c r="M37" t="s">
        <v>1038</v>
      </c>
    </row>
    <row r="38" spans="1:13" x14ac:dyDescent="0.2">
      <c r="A38" t="str">
        <f t="shared" si="0"/>
        <v>2023-1-VBS-CL-FL-1-16S</v>
      </c>
      <c r="B38" t="s">
        <v>721</v>
      </c>
      <c r="C38" s="88">
        <v>45069</v>
      </c>
      <c r="D38" t="s">
        <v>962</v>
      </c>
      <c r="E38" t="s">
        <v>549</v>
      </c>
      <c r="F38" t="s">
        <v>22</v>
      </c>
      <c r="G38" t="s">
        <v>547</v>
      </c>
      <c r="H38" t="s">
        <v>961</v>
      </c>
      <c r="I38" t="s">
        <v>43</v>
      </c>
      <c r="J38" t="s">
        <v>151</v>
      </c>
      <c r="K38">
        <v>1</v>
      </c>
      <c r="L38">
        <v>2023</v>
      </c>
      <c r="M38" t="s">
        <v>1072</v>
      </c>
    </row>
    <row r="39" spans="1:13" x14ac:dyDescent="0.2">
      <c r="A39" t="str">
        <f t="shared" si="0"/>
        <v>2023-1-VBS-CL-LE-1-16S</v>
      </c>
      <c r="B39" t="s">
        <v>722</v>
      </c>
      <c r="C39" s="88">
        <v>45069</v>
      </c>
      <c r="D39" t="s">
        <v>962</v>
      </c>
      <c r="E39" t="s">
        <v>549</v>
      </c>
      <c r="F39" t="s">
        <v>22</v>
      </c>
      <c r="G39" t="s">
        <v>547</v>
      </c>
      <c r="H39" t="s">
        <v>961</v>
      </c>
      <c r="I39" t="s">
        <v>43</v>
      </c>
      <c r="J39" t="s">
        <v>152</v>
      </c>
      <c r="K39">
        <v>1</v>
      </c>
      <c r="L39">
        <v>2023</v>
      </c>
      <c r="M39" t="s">
        <v>1073</v>
      </c>
    </row>
    <row r="40" spans="1:13" x14ac:dyDescent="0.2">
      <c r="A40" t="str">
        <f t="shared" si="0"/>
        <v>2023-1-VBS-CL-FL-2-16S</v>
      </c>
      <c r="B40" t="s">
        <v>725</v>
      </c>
      <c r="C40" s="88">
        <v>45069</v>
      </c>
      <c r="D40" t="s">
        <v>962</v>
      </c>
      <c r="E40" t="s">
        <v>549</v>
      </c>
      <c r="F40" t="s">
        <v>22</v>
      </c>
      <c r="G40" t="s">
        <v>547</v>
      </c>
      <c r="H40" t="s">
        <v>961</v>
      </c>
      <c r="I40" t="s">
        <v>43</v>
      </c>
      <c r="J40" t="s">
        <v>151</v>
      </c>
      <c r="K40">
        <v>2</v>
      </c>
      <c r="L40">
        <v>2023</v>
      </c>
      <c r="M40" t="s">
        <v>1074</v>
      </c>
    </row>
    <row r="41" spans="1:13" x14ac:dyDescent="0.2">
      <c r="A41" t="str">
        <f t="shared" si="0"/>
        <v>2023-1-VBS-CL-LE-2-16S</v>
      </c>
      <c r="B41" t="s">
        <v>726</v>
      </c>
      <c r="C41" s="88">
        <v>45069</v>
      </c>
      <c r="D41" t="s">
        <v>962</v>
      </c>
      <c r="E41" t="s">
        <v>549</v>
      </c>
      <c r="F41" t="s">
        <v>22</v>
      </c>
      <c r="G41" t="s">
        <v>547</v>
      </c>
      <c r="H41" t="s">
        <v>961</v>
      </c>
      <c r="I41" t="s">
        <v>43</v>
      </c>
      <c r="J41" t="s">
        <v>152</v>
      </c>
      <c r="K41">
        <v>2</v>
      </c>
      <c r="L41">
        <v>2023</v>
      </c>
      <c r="M41" t="s">
        <v>1075</v>
      </c>
    </row>
    <row r="42" spans="1:13" x14ac:dyDescent="0.2">
      <c r="A42" t="str">
        <f t="shared" si="0"/>
        <v>2023-1-VBS-CL-FL-3-16S</v>
      </c>
      <c r="B42" t="s">
        <v>727</v>
      </c>
      <c r="C42" s="88">
        <v>45069</v>
      </c>
      <c r="D42" t="s">
        <v>962</v>
      </c>
      <c r="E42" t="s">
        <v>549</v>
      </c>
      <c r="F42" t="s">
        <v>22</v>
      </c>
      <c r="G42" t="s">
        <v>547</v>
      </c>
      <c r="H42" t="s">
        <v>961</v>
      </c>
      <c r="I42" t="s">
        <v>43</v>
      </c>
      <c r="J42" t="s">
        <v>151</v>
      </c>
      <c r="K42">
        <v>3</v>
      </c>
      <c r="L42">
        <v>2023</v>
      </c>
      <c r="M42" t="s">
        <v>1076</v>
      </c>
    </row>
    <row r="43" spans="1:13" x14ac:dyDescent="0.2">
      <c r="A43" t="str">
        <f t="shared" si="0"/>
        <v>2023-1-VBS-CL-LE-3-16S</v>
      </c>
      <c r="B43" t="s">
        <v>728</v>
      </c>
      <c r="C43" s="88">
        <v>45069</v>
      </c>
      <c r="D43" t="s">
        <v>962</v>
      </c>
      <c r="E43" t="s">
        <v>549</v>
      </c>
      <c r="F43" t="s">
        <v>22</v>
      </c>
      <c r="G43" t="s">
        <v>547</v>
      </c>
      <c r="H43" t="s">
        <v>961</v>
      </c>
      <c r="I43" t="s">
        <v>43</v>
      </c>
      <c r="J43" t="s">
        <v>152</v>
      </c>
      <c r="K43">
        <v>3</v>
      </c>
      <c r="L43">
        <v>2023</v>
      </c>
      <c r="M43" t="s">
        <v>1077</v>
      </c>
    </row>
    <row r="44" spans="1:13" x14ac:dyDescent="0.2">
      <c r="A44" t="str">
        <f t="shared" si="0"/>
        <v>2023-1-VBS-PR-FL-1-16S</v>
      </c>
      <c r="B44" t="s">
        <v>729</v>
      </c>
      <c r="C44" s="88">
        <v>45069</v>
      </c>
      <c r="D44" t="s">
        <v>962</v>
      </c>
      <c r="E44" t="s">
        <v>549</v>
      </c>
      <c r="F44" t="s">
        <v>22</v>
      </c>
      <c r="G44" t="s">
        <v>547</v>
      </c>
      <c r="H44" t="s">
        <v>961</v>
      </c>
      <c r="I44" t="s">
        <v>74</v>
      </c>
      <c r="J44" t="s">
        <v>151</v>
      </c>
      <c r="K44">
        <v>1</v>
      </c>
      <c r="L44">
        <v>2023</v>
      </c>
      <c r="M44" t="s">
        <v>1078</v>
      </c>
    </row>
    <row r="45" spans="1:13" x14ac:dyDescent="0.2">
      <c r="A45" t="str">
        <f t="shared" si="0"/>
        <v>2023-1-VBS-PR-LE-1-16S</v>
      </c>
      <c r="B45" t="s">
        <v>730</v>
      </c>
      <c r="C45" s="88">
        <v>45069</v>
      </c>
      <c r="D45" t="s">
        <v>962</v>
      </c>
      <c r="E45" t="s">
        <v>549</v>
      </c>
      <c r="F45" t="s">
        <v>22</v>
      </c>
      <c r="G45" t="s">
        <v>547</v>
      </c>
      <c r="H45" t="s">
        <v>961</v>
      </c>
      <c r="I45" t="s">
        <v>74</v>
      </c>
      <c r="J45" t="s">
        <v>152</v>
      </c>
      <c r="K45">
        <v>1</v>
      </c>
      <c r="L45">
        <v>2023</v>
      </c>
      <c r="M45" t="s">
        <v>1079</v>
      </c>
    </row>
    <row r="46" spans="1:13" x14ac:dyDescent="0.2">
      <c r="A46" t="str">
        <f t="shared" si="0"/>
        <v>2023-1-VBS-PR-FL-2-16S</v>
      </c>
      <c r="B46" t="s">
        <v>733</v>
      </c>
      <c r="C46" s="88">
        <v>45069</v>
      </c>
      <c r="D46" t="s">
        <v>962</v>
      </c>
      <c r="E46" t="s">
        <v>549</v>
      </c>
      <c r="F46" t="s">
        <v>22</v>
      </c>
      <c r="G46" t="s">
        <v>547</v>
      </c>
      <c r="H46" t="s">
        <v>961</v>
      </c>
      <c r="I46" t="s">
        <v>74</v>
      </c>
      <c r="J46" t="s">
        <v>151</v>
      </c>
      <c r="K46">
        <v>2</v>
      </c>
      <c r="L46">
        <v>2023</v>
      </c>
      <c r="M46" t="s">
        <v>1080</v>
      </c>
    </row>
    <row r="47" spans="1:13" x14ac:dyDescent="0.2">
      <c r="A47" t="str">
        <f t="shared" si="0"/>
        <v>2023-1-VBS-PR-LE-2-16S</v>
      </c>
      <c r="B47" t="s">
        <v>734</v>
      </c>
      <c r="C47" s="88">
        <v>45069</v>
      </c>
      <c r="D47" t="s">
        <v>962</v>
      </c>
      <c r="E47" t="s">
        <v>549</v>
      </c>
      <c r="F47" t="s">
        <v>22</v>
      </c>
      <c r="G47" t="s">
        <v>547</v>
      </c>
      <c r="H47" t="s">
        <v>961</v>
      </c>
      <c r="I47" t="s">
        <v>74</v>
      </c>
      <c r="J47" t="s">
        <v>152</v>
      </c>
      <c r="K47">
        <v>2</v>
      </c>
      <c r="L47">
        <v>2023</v>
      </c>
      <c r="M47" t="s">
        <v>1081</v>
      </c>
    </row>
    <row r="48" spans="1:13" x14ac:dyDescent="0.2">
      <c r="A48" t="str">
        <f t="shared" si="0"/>
        <v>2023-1-VBS-PR-FL-3-16S</v>
      </c>
      <c r="B48" t="s">
        <v>735</v>
      </c>
      <c r="C48" s="88">
        <v>45069</v>
      </c>
      <c r="D48" t="s">
        <v>962</v>
      </c>
      <c r="E48" t="s">
        <v>549</v>
      </c>
      <c r="F48" t="s">
        <v>22</v>
      </c>
      <c r="G48" t="s">
        <v>547</v>
      </c>
      <c r="H48" t="s">
        <v>961</v>
      </c>
      <c r="I48" t="s">
        <v>74</v>
      </c>
      <c r="J48" t="s">
        <v>151</v>
      </c>
      <c r="K48">
        <v>3</v>
      </c>
      <c r="L48">
        <v>2023</v>
      </c>
      <c r="M48" t="s">
        <v>1082</v>
      </c>
    </row>
    <row r="49" spans="1:13" x14ac:dyDescent="0.2">
      <c r="A49" t="str">
        <f t="shared" si="0"/>
        <v>2023-1-VBS-PR-LE-3-16S</v>
      </c>
      <c r="B49" t="s">
        <v>736</v>
      </c>
      <c r="C49" s="88">
        <v>45069</v>
      </c>
      <c r="D49" t="s">
        <v>962</v>
      </c>
      <c r="E49" t="s">
        <v>549</v>
      </c>
      <c r="F49" t="s">
        <v>22</v>
      </c>
      <c r="G49" t="s">
        <v>547</v>
      </c>
      <c r="H49" t="s">
        <v>961</v>
      </c>
      <c r="I49" t="s">
        <v>74</v>
      </c>
      <c r="J49" t="s">
        <v>152</v>
      </c>
      <c r="K49">
        <v>3</v>
      </c>
      <c r="L49">
        <v>2023</v>
      </c>
      <c r="M49" t="s">
        <v>1083</v>
      </c>
    </row>
    <row r="50" spans="1:13" x14ac:dyDescent="0.2">
      <c r="A50" t="str">
        <f t="shared" si="0"/>
        <v>2023-1-VBS-LI-FL-1-16S</v>
      </c>
      <c r="B50" t="s">
        <v>652</v>
      </c>
      <c r="C50" s="88">
        <v>45069</v>
      </c>
      <c r="D50" t="s">
        <v>962</v>
      </c>
      <c r="E50" t="s">
        <v>549</v>
      </c>
      <c r="F50" t="s">
        <v>22</v>
      </c>
      <c r="G50" t="s">
        <v>547</v>
      </c>
      <c r="H50" t="s">
        <v>961</v>
      </c>
      <c r="I50" t="s">
        <v>36</v>
      </c>
      <c r="J50" t="s">
        <v>151</v>
      </c>
      <c r="K50">
        <v>1</v>
      </c>
      <c r="L50">
        <v>2023</v>
      </c>
      <c r="M50" t="s">
        <v>1096</v>
      </c>
    </row>
    <row r="51" spans="1:13" x14ac:dyDescent="0.2">
      <c r="A51" t="str">
        <f t="shared" si="0"/>
        <v>2023-1-VBS-LI-LE-1-16S</v>
      </c>
      <c r="B51" t="s">
        <v>653</v>
      </c>
      <c r="C51" s="88">
        <v>45069</v>
      </c>
      <c r="D51" t="s">
        <v>962</v>
      </c>
      <c r="E51" t="s">
        <v>549</v>
      </c>
      <c r="F51" t="s">
        <v>22</v>
      </c>
      <c r="G51" t="s">
        <v>547</v>
      </c>
      <c r="H51" t="s">
        <v>961</v>
      </c>
      <c r="I51" t="s">
        <v>36</v>
      </c>
      <c r="J51" t="s">
        <v>152</v>
      </c>
      <c r="K51">
        <v>1</v>
      </c>
      <c r="L51">
        <v>2023</v>
      </c>
      <c r="M51" t="s">
        <v>1097</v>
      </c>
    </row>
    <row r="52" spans="1:13" x14ac:dyDescent="0.2">
      <c r="A52" t="str">
        <f t="shared" si="0"/>
        <v>2023-1-VBS-LI-FL-2-16S</v>
      </c>
      <c r="B52" t="s">
        <v>749</v>
      </c>
      <c r="C52" s="88">
        <v>45069</v>
      </c>
      <c r="D52" t="s">
        <v>962</v>
      </c>
      <c r="E52" t="s">
        <v>549</v>
      </c>
      <c r="F52" t="s">
        <v>22</v>
      </c>
      <c r="G52" t="s">
        <v>547</v>
      </c>
      <c r="H52" t="s">
        <v>961</v>
      </c>
      <c r="I52" t="s">
        <v>36</v>
      </c>
      <c r="J52" t="s">
        <v>151</v>
      </c>
      <c r="K52">
        <v>2</v>
      </c>
      <c r="L52">
        <v>2023</v>
      </c>
      <c r="M52" t="s">
        <v>1098</v>
      </c>
    </row>
    <row r="53" spans="1:13" x14ac:dyDescent="0.2">
      <c r="A53" t="str">
        <f t="shared" si="0"/>
        <v>2023-1-VBS-LI-LE-2-16S</v>
      </c>
      <c r="B53" t="s">
        <v>750</v>
      </c>
      <c r="C53" s="88">
        <v>45069</v>
      </c>
      <c r="D53" t="s">
        <v>962</v>
      </c>
      <c r="E53" t="s">
        <v>549</v>
      </c>
      <c r="F53" t="s">
        <v>22</v>
      </c>
      <c r="G53" t="s">
        <v>547</v>
      </c>
      <c r="H53" t="s">
        <v>961</v>
      </c>
      <c r="I53" t="s">
        <v>36</v>
      </c>
      <c r="J53" t="s">
        <v>152</v>
      </c>
      <c r="K53">
        <v>2</v>
      </c>
      <c r="L53">
        <v>2023</v>
      </c>
      <c r="M53" t="s">
        <v>1099</v>
      </c>
    </row>
    <row r="54" spans="1:13" x14ac:dyDescent="0.2">
      <c r="A54" t="str">
        <f t="shared" si="0"/>
        <v>2023-1-VBS-LI-FL-3-16S</v>
      </c>
      <c r="B54" t="s">
        <v>751</v>
      </c>
      <c r="C54" s="88">
        <v>45069</v>
      </c>
      <c r="D54" t="s">
        <v>962</v>
      </c>
      <c r="E54" t="s">
        <v>549</v>
      </c>
      <c r="F54" t="s">
        <v>22</v>
      </c>
      <c r="G54" t="s">
        <v>547</v>
      </c>
      <c r="H54" t="s">
        <v>961</v>
      </c>
      <c r="I54" t="s">
        <v>36</v>
      </c>
      <c r="J54" t="s">
        <v>151</v>
      </c>
      <c r="K54">
        <v>3</v>
      </c>
      <c r="L54">
        <v>2023</v>
      </c>
      <c r="M54" t="s">
        <v>1100</v>
      </c>
    </row>
    <row r="55" spans="1:13" x14ac:dyDescent="0.2">
      <c r="A55" t="str">
        <f t="shared" si="0"/>
        <v>2023-1-VBS-LI-LE-3-16S</v>
      </c>
      <c r="B55" t="s">
        <v>752</v>
      </c>
      <c r="C55" s="88">
        <v>45069</v>
      </c>
      <c r="D55" t="s">
        <v>962</v>
      </c>
      <c r="E55" t="s">
        <v>549</v>
      </c>
      <c r="F55" t="s">
        <v>22</v>
      </c>
      <c r="G55" t="s">
        <v>547</v>
      </c>
      <c r="H55" t="s">
        <v>961</v>
      </c>
      <c r="I55" t="s">
        <v>36</v>
      </c>
      <c r="J55" t="s">
        <v>152</v>
      </c>
      <c r="K55">
        <v>3</v>
      </c>
      <c r="L55">
        <v>2023</v>
      </c>
      <c r="M55" t="s">
        <v>1101</v>
      </c>
    </row>
    <row r="56" spans="1:13" x14ac:dyDescent="0.2">
      <c r="A56" t="str">
        <f t="shared" si="0"/>
        <v>2023-2-ASB-CL-LE-1-16S</v>
      </c>
      <c r="B56" t="s">
        <v>785</v>
      </c>
      <c r="C56" s="88">
        <v>45126</v>
      </c>
      <c r="D56" t="s">
        <v>963</v>
      </c>
      <c r="E56" t="s">
        <v>551</v>
      </c>
      <c r="F56" t="s">
        <v>16</v>
      </c>
      <c r="G56" t="s">
        <v>548</v>
      </c>
      <c r="H56" t="s">
        <v>960</v>
      </c>
      <c r="I56" t="s">
        <v>43</v>
      </c>
      <c r="J56" t="s">
        <v>152</v>
      </c>
      <c r="K56">
        <v>1</v>
      </c>
      <c r="L56">
        <v>2023</v>
      </c>
      <c r="M56" t="s">
        <v>1138</v>
      </c>
    </row>
    <row r="57" spans="1:13" x14ac:dyDescent="0.2">
      <c r="A57" t="str">
        <f t="shared" si="0"/>
        <v>2023-2-ASB-CL-LE-2-16S</v>
      </c>
      <c r="B57" t="s">
        <v>558</v>
      </c>
      <c r="C57" s="88">
        <v>45126</v>
      </c>
      <c r="D57" t="s">
        <v>963</v>
      </c>
      <c r="E57" t="s">
        <v>551</v>
      </c>
      <c r="F57" t="s">
        <v>16</v>
      </c>
      <c r="G57" t="s">
        <v>548</v>
      </c>
      <c r="H57" t="s">
        <v>960</v>
      </c>
      <c r="I57" t="s">
        <v>43</v>
      </c>
      <c r="J57" t="s">
        <v>152</v>
      </c>
      <c r="K57">
        <v>2</v>
      </c>
      <c r="L57">
        <v>2023</v>
      </c>
      <c r="M57" t="s">
        <v>1139</v>
      </c>
    </row>
    <row r="58" spans="1:13" x14ac:dyDescent="0.2">
      <c r="A58" t="str">
        <f t="shared" si="0"/>
        <v>2023-2-ASB-CL-LE-3-16S</v>
      </c>
      <c r="B58" t="s">
        <v>786</v>
      </c>
      <c r="C58" s="88">
        <v>45126</v>
      </c>
      <c r="D58" t="s">
        <v>963</v>
      </c>
      <c r="E58" t="s">
        <v>551</v>
      </c>
      <c r="F58" t="s">
        <v>16</v>
      </c>
      <c r="G58" t="s">
        <v>548</v>
      </c>
      <c r="H58" t="s">
        <v>960</v>
      </c>
      <c r="I58" t="s">
        <v>43</v>
      </c>
      <c r="J58" t="s">
        <v>152</v>
      </c>
      <c r="K58">
        <v>3</v>
      </c>
      <c r="L58">
        <v>2023</v>
      </c>
      <c r="M58" t="s">
        <v>1140</v>
      </c>
    </row>
    <row r="59" spans="1:13" x14ac:dyDescent="0.2">
      <c r="A59" t="str">
        <f t="shared" si="0"/>
        <v>2023-2-ASB-PR-LE-1-16S</v>
      </c>
      <c r="B59" t="s">
        <v>787</v>
      </c>
      <c r="C59" s="88">
        <v>45126</v>
      </c>
      <c r="D59" t="s">
        <v>963</v>
      </c>
      <c r="E59" t="s">
        <v>551</v>
      </c>
      <c r="F59" t="s">
        <v>16</v>
      </c>
      <c r="G59" t="s">
        <v>548</v>
      </c>
      <c r="H59" t="s">
        <v>960</v>
      </c>
      <c r="I59" t="s">
        <v>74</v>
      </c>
      <c r="J59" t="s">
        <v>152</v>
      </c>
      <c r="K59">
        <v>1</v>
      </c>
      <c r="L59">
        <v>2023</v>
      </c>
      <c r="M59" t="s">
        <v>1141</v>
      </c>
    </row>
    <row r="60" spans="1:13" x14ac:dyDescent="0.2">
      <c r="A60" t="str">
        <f t="shared" si="0"/>
        <v>2023-2-ASB-PR-LE-2-16S</v>
      </c>
      <c r="B60" t="s">
        <v>566</v>
      </c>
      <c r="C60" s="88">
        <v>45126</v>
      </c>
      <c r="D60" t="s">
        <v>963</v>
      </c>
      <c r="E60" t="s">
        <v>551</v>
      </c>
      <c r="F60" t="s">
        <v>16</v>
      </c>
      <c r="G60" t="s">
        <v>548</v>
      </c>
      <c r="H60" t="s">
        <v>960</v>
      </c>
      <c r="I60" t="s">
        <v>74</v>
      </c>
      <c r="J60" t="s">
        <v>152</v>
      </c>
      <c r="K60">
        <v>2</v>
      </c>
      <c r="L60">
        <v>2023</v>
      </c>
      <c r="M60" t="s">
        <v>1142</v>
      </c>
    </row>
    <row r="61" spans="1:13" x14ac:dyDescent="0.2">
      <c r="A61" t="str">
        <f t="shared" si="0"/>
        <v>2023-2-ASB-PR-LE-3-16S</v>
      </c>
      <c r="B61" t="s">
        <v>788</v>
      </c>
      <c r="C61" s="88">
        <v>45126</v>
      </c>
      <c r="D61" t="s">
        <v>963</v>
      </c>
      <c r="E61" t="s">
        <v>551</v>
      </c>
      <c r="F61" t="s">
        <v>16</v>
      </c>
      <c r="G61" t="s">
        <v>548</v>
      </c>
      <c r="H61" t="s">
        <v>960</v>
      </c>
      <c r="I61" t="s">
        <v>74</v>
      </c>
      <c r="J61" t="s">
        <v>152</v>
      </c>
      <c r="K61">
        <v>3</v>
      </c>
      <c r="L61">
        <v>2023</v>
      </c>
      <c r="M61" t="s">
        <v>1143</v>
      </c>
    </row>
    <row r="62" spans="1:13" x14ac:dyDescent="0.2">
      <c r="A62" t="str">
        <f t="shared" si="0"/>
        <v>2023-2-ASB-LI-LE-1-16S</v>
      </c>
      <c r="B62" t="s">
        <v>793</v>
      </c>
      <c r="C62" s="88">
        <v>45126</v>
      </c>
      <c r="D62" t="s">
        <v>963</v>
      </c>
      <c r="E62" t="s">
        <v>551</v>
      </c>
      <c r="F62" t="s">
        <v>16</v>
      </c>
      <c r="G62" t="s">
        <v>548</v>
      </c>
      <c r="H62" t="s">
        <v>960</v>
      </c>
      <c r="I62" t="s">
        <v>36</v>
      </c>
      <c r="J62" t="s">
        <v>152</v>
      </c>
      <c r="K62">
        <v>1</v>
      </c>
      <c r="L62">
        <v>2023</v>
      </c>
      <c r="M62" t="s">
        <v>1150</v>
      </c>
    </row>
    <row r="63" spans="1:13" x14ac:dyDescent="0.2">
      <c r="A63" t="str">
        <f t="shared" si="0"/>
        <v>2023-2-ASB-LI-LE-2-16S</v>
      </c>
      <c r="B63" t="s">
        <v>586</v>
      </c>
      <c r="C63" s="88">
        <v>45126</v>
      </c>
      <c r="D63" t="s">
        <v>963</v>
      </c>
      <c r="E63" t="s">
        <v>551</v>
      </c>
      <c r="F63" t="s">
        <v>16</v>
      </c>
      <c r="G63" t="s">
        <v>548</v>
      </c>
      <c r="H63" t="s">
        <v>960</v>
      </c>
      <c r="I63" t="s">
        <v>36</v>
      </c>
      <c r="J63" t="s">
        <v>152</v>
      </c>
      <c r="K63">
        <v>2</v>
      </c>
      <c r="L63">
        <v>2023</v>
      </c>
      <c r="M63" t="s">
        <v>1151</v>
      </c>
    </row>
    <row r="64" spans="1:13" x14ac:dyDescent="0.2">
      <c r="A64" t="str">
        <f t="shared" si="0"/>
        <v>2023-2-ASB-LI-LE-3-16S</v>
      </c>
      <c r="B64" t="s">
        <v>794</v>
      </c>
      <c r="C64" s="88">
        <v>45126</v>
      </c>
      <c r="D64" t="s">
        <v>963</v>
      </c>
      <c r="E64" t="s">
        <v>551</v>
      </c>
      <c r="F64" t="s">
        <v>16</v>
      </c>
      <c r="G64" t="s">
        <v>548</v>
      </c>
      <c r="H64" t="s">
        <v>960</v>
      </c>
      <c r="I64" t="s">
        <v>36</v>
      </c>
      <c r="J64" t="s">
        <v>152</v>
      </c>
      <c r="K64">
        <v>3</v>
      </c>
      <c r="L64">
        <v>2023</v>
      </c>
      <c r="M64" t="s">
        <v>1152</v>
      </c>
    </row>
    <row r="65" spans="1:13" x14ac:dyDescent="0.2">
      <c r="A65" t="str">
        <f t="shared" si="0"/>
        <v>2023-2-PMB-CL-LE-1-16S</v>
      </c>
      <c r="B65" t="s">
        <v>797</v>
      </c>
      <c r="C65" s="88">
        <v>45124</v>
      </c>
      <c r="D65" t="s">
        <v>963</v>
      </c>
      <c r="E65" t="s">
        <v>8</v>
      </c>
      <c r="F65" t="s">
        <v>9</v>
      </c>
      <c r="G65" t="s">
        <v>545</v>
      </c>
      <c r="H65" t="s">
        <v>960</v>
      </c>
      <c r="I65" t="s">
        <v>43</v>
      </c>
      <c r="J65" t="s">
        <v>152</v>
      </c>
      <c r="K65">
        <v>1</v>
      </c>
      <c r="L65">
        <v>2023</v>
      </c>
      <c r="M65" t="s">
        <v>1156</v>
      </c>
    </row>
    <row r="66" spans="1:13" x14ac:dyDescent="0.2">
      <c r="A66" t="str">
        <f t="shared" si="0"/>
        <v>2023-2-PMB-CL-LE-2-16S</v>
      </c>
      <c r="B66" t="s">
        <v>606</v>
      </c>
      <c r="C66" s="88">
        <v>45124</v>
      </c>
      <c r="D66" t="s">
        <v>963</v>
      </c>
      <c r="E66" t="s">
        <v>8</v>
      </c>
      <c r="F66" t="s">
        <v>9</v>
      </c>
      <c r="G66" t="s">
        <v>545</v>
      </c>
      <c r="H66" t="s">
        <v>960</v>
      </c>
      <c r="I66" t="s">
        <v>43</v>
      </c>
      <c r="J66" t="s">
        <v>152</v>
      </c>
      <c r="K66">
        <v>2</v>
      </c>
      <c r="L66">
        <v>2023</v>
      </c>
      <c r="M66" t="s">
        <v>1157</v>
      </c>
    </row>
    <row r="67" spans="1:13" x14ac:dyDescent="0.2">
      <c r="A67" t="str">
        <f t="shared" ref="A67:A130" si="1" xml:space="preserve"> "2023-" &amp; B67&amp;"-16S"</f>
        <v>2023-2-PMB-CL-LE-3-16S</v>
      </c>
      <c r="B67" t="s">
        <v>798</v>
      </c>
      <c r="C67" s="88">
        <v>45124</v>
      </c>
      <c r="D67" t="s">
        <v>963</v>
      </c>
      <c r="E67" t="s">
        <v>8</v>
      </c>
      <c r="F67" t="s">
        <v>9</v>
      </c>
      <c r="G67" t="s">
        <v>545</v>
      </c>
      <c r="H67" t="s">
        <v>960</v>
      </c>
      <c r="I67" t="s">
        <v>43</v>
      </c>
      <c r="J67" t="s">
        <v>152</v>
      </c>
      <c r="K67">
        <v>3</v>
      </c>
      <c r="L67">
        <v>2023</v>
      </c>
      <c r="M67" t="s">
        <v>1158</v>
      </c>
    </row>
    <row r="68" spans="1:13" x14ac:dyDescent="0.2">
      <c r="A68" t="str">
        <f t="shared" si="1"/>
        <v>2023-2-PMB-PR-LE-1-16S</v>
      </c>
      <c r="B68" t="s">
        <v>799</v>
      </c>
      <c r="C68" s="88">
        <v>45124</v>
      </c>
      <c r="D68" t="s">
        <v>963</v>
      </c>
      <c r="E68" t="s">
        <v>8</v>
      </c>
      <c r="F68" t="s">
        <v>9</v>
      </c>
      <c r="G68" t="s">
        <v>545</v>
      </c>
      <c r="H68" t="s">
        <v>960</v>
      </c>
      <c r="I68" t="s">
        <v>74</v>
      </c>
      <c r="J68" t="s">
        <v>152</v>
      </c>
      <c r="K68">
        <v>1</v>
      </c>
      <c r="L68">
        <v>2023</v>
      </c>
      <c r="M68" t="s">
        <v>1159</v>
      </c>
    </row>
    <row r="69" spans="1:13" x14ac:dyDescent="0.2">
      <c r="A69" t="str">
        <f t="shared" si="1"/>
        <v>2023-2-PMB-PR-LE-2-16S</v>
      </c>
      <c r="B69" t="s">
        <v>613</v>
      </c>
      <c r="C69" s="88">
        <v>45124</v>
      </c>
      <c r="D69" t="s">
        <v>963</v>
      </c>
      <c r="E69" t="s">
        <v>8</v>
      </c>
      <c r="F69" t="s">
        <v>9</v>
      </c>
      <c r="G69" t="s">
        <v>545</v>
      </c>
      <c r="H69" t="s">
        <v>960</v>
      </c>
      <c r="I69" t="s">
        <v>74</v>
      </c>
      <c r="J69" t="s">
        <v>152</v>
      </c>
      <c r="K69">
        <v>2</v>
      </c>
      <c r="L69">
        <v>2023</v>
      </c>
      <c r="M69" t="s">
        <v>1160</v>
      </c>
    </row>
    <row r="70" spans="1:13" x14ac:dyDescent="0.2">
      <c r="A70" t="str">
        <f t="shared" si="1"/>
        <v>2023-2-PMB-PR-LE-3-16S</v>
      </c>
      <c r="B70" t="s">
        <v>800</v>
      </c>
      <c r="C70" s="88">
        <v>45124</v>
      </c>
      <c r="D70" t="s">
        <v>963</v>
      </c>
      <c r="E70" t="s">
        <v>8</v>
      </c>
      <c r="F70" t="s">
        <v>9</v>
      </c>
      <c r="G70" t="s">
        <v>545</v>
      </c>
      <c r="H70" t="s">
        <v>960</v>
      </c>
      <c r="I70" t="s">
        <v>74</v>
      </c>
      <c r="J70" t="s">
        <v>152</v>
      </c>
      <c r="K70">
        <v>3</v>
      </c>
      <c r="L70">
        <v>2023</v>
      </c>
      <c r="M70" t="s">
        <v>1161</v>
      </c>
    </row>
    <row r="71" spans="1:13" x14ac:dyDescent="0.2">
      <c r="A71" t="str">
        <f t="shared" si="1"/>
        <v>2023-2-PMB-LI-LE-1-16S</v>
      </c>
      <c r="B71" t="s">
        <v>805</v>
      </c>
      <c r="C71" s="88">
        <v>45124</v>
      </c>
      <c r="D71" t="s">
        <v>963</v>
      </c>
      <c r="E71" t="s">
        <v>8</v>
      </c>
      <c r="F71" t="s">
        <v>9</v>
      </c>
      <c r="G71" t="s">
        <v>545</v>
      </c>
      <c r="H71" t="s">
        <v>960</v>
      </c>
      <c r="I71" t="s">
        <v>36</v>
      </c>
      <c r="J71" t="s">
        <v>152</v>
      </c>
      <c r="K71">
        <v>1</v>
      </c>
      <c r="L71">
        <v>2023</v>
      </c>
      <c r="M71" t="s">
        <v>1168</v>
      </c>
    </row>
    <row r="72" spans="1:13" x14ac:dyDescent="0.2">
      <c r="A72" t="str">
        <f t="shared" si="1"/>
        <v>2023-2-PMB-LI-LE-2-16S</v>
      </c>
      <c r="B72" t="s">
        <v>634</v>
      </c>
      <c r="C72" s="88">
        <v>45124</v>
      </c>
      <c r="D72" t="s">
        <v>963</v>
      </c>
      <c r="E72" t="s">
        <v>8</v>
      </c>
      <c r="F72" t="s">
        <v>9</v>
      </c>
      <c r="G72" t="s">
        <v>545</v>
      </c>
      <c r="H72" t="s">
        <v>960</v>
      </c>
      <c r="I72" t="s">
        <v>36</v>
      </c>
      <c r="J72" t="s">
        <v>152</v>
      </c>
      <c r="K72">
        <v>2</v>
      </c>
      <c r="L72">
        <v>2023</v>
      </c>
      <c r="M72" t="s">
        <v>1169</v>
      </c>
    </row>
    <row r="73" spans="1:13" x14ac:dyDescent="0.2">
      <c r="A73" t="str">
        <f t="shared" si="1"/>
        <v>2023-2-PMB-LI-LE-3-16S</v>
      </c>
      <c r="B73" t="s">
        <v>806</v>
      </c>
      <c r="C73" s="88">
        <v>45124</v>
      </c>
      <c r="D73" t="s">
        <v>963</v>
      </c>
      <c r="E73" t="s">
        <v>8</v>
      </c>
      <c r="F73" t="s">
        <v>9</v>
      </c>
      <c r="G73" t="s">
        <v>545</v>
      </c>
      <c r="H73" t="s">
        <v>960</v>
      </c>
      <c r="I73" t="s">
        <v>36</v>
      </c>
      <c r="J73" t="s">
        <v>152</v>
      </c>
      <c r="K73">
        <v>3</v>
      </c>
      <c r="L73">
        <v>2023</v>
      </c>
      <c r="M73" t="s">
        <v>1170</v>
      </c>
    </row>
    <row r="74" spans="1:13" x14ac:dyDescent="0.2">
      <c r="A74" t="str">
        <f t="shared" si="1"/>
        <v>2023-2-VBS-CL-LE-1-16S</v>
      </c>
      <c r="B74" t="s">
        <v>817</v>
      </c>
      <c r="C74" s="88">
        <v>45126</v>
      </c>
      <c r="D74" t="s">
        <v>963</v>
      </c>
      <c r="E74" t="s">
        <v>549</v>
      </c>
      <c r="F74" t="s">
        <v>22</v>
      </c>
      <c r="G74" t="s">
        <v>547</v>
      </c>
      <c r="H74" t="s">
        <v>961</v>
      </c>
      <c r="I74" t="s">
        <v>43</v>
      </c>
      <c r="J74" t="s">
        <v>152</v>
      </c>
      <c r="K74">
        <v>1</v>
      </c>
      <c r="L74">
        <v>2023</v>
      </c>
      <c r="M74" t="s">
        <v>1189</v>
      </c>
    </row>
    <row r="75" spans="1:13" x14ac:dyDescent="0.2">
      <c r="A75" t="str">
        <f t="shared" si="1"/>
        <v>2023-2-VBS-CL-LE-2-16S</v>
      </c>
      <c r="B75" t="s">
        <v>723</v>
      </c>
      <c r="C75" s="88">
        <v>45126</v>
      </c>
      <c r="D75" t="s">
        <v>963</v>
      </c>
      <c r="E75" t="s">
        <v>549</v>
      </c>
      <c r="F75" t="s">
        <v>22</v>
      </c>
      <c r="G75" t="s">
        <v>547</v>
      </c>
      <c r="H75" t="s">
        <v>961</v>
      </c>
      <c r="I75" t="s">
        <v>43</v>
      </c>
      <c r="J75" t="s">
        <v>152</v>
      </c>
      <c r="K75">
        <v>2</v>
      </c>
      <c r="L75">
        <v>2023</v>
      </c>
      <c r="M75" t="s">
        <v>1190</v>
      </c>
    </row>
    <row r="76" spans="1:13" x14ac:dyDescent="0.2">
      <c r="A76" t="str">
        <f t="shared" si="1"/>
        <v>2023-2-VBS-CL-LE-3-16S</v>
      </c>
      <c r="B76" t="s">
        <v>818</v>
      </c>
      <c r="C76" s="88">
        <v>45126</v>
      </c>
      <c r="D76" t="s">
        <v>963</v>
      </c>
      <c r="E76" t="s">
        <v>549</v>
      </c>
      <c r="F76" t="s">
        <v>22</v>
      </c>
      <c r="G76" t="s">
        <v>547</v>
      </c>
      <c r="H76" t="s">
        <v>961</v>
      </c>
      <c r="I76" t="s">
        <v>43</v>
      </c>
      <c r="J76" t="s">
        <v>152</v>
      </c>
      <c r="K76">
        <v>3</v>
      </c>
      <c r="L76">
        <v>2023</v>
      </c>
      <c r="M76" t="s">
        <v>1191</v>
      </c>
    </row>
    <row r="77" spans="1:13" x14ac:dyDescent="0.2">
      <c r="A77" t="str">
        <f t="shared" si="1"/>
        <v>2023-2-VBS-PR-LE-1-16S</v>
      </c>
      <c r="B77" t="s">
        <v>819</v>
      </c>
      <c r="C77" s="88">
        <v>45126</v>
      </c>
      <c r="D77" t="s">
        <v>963</v>
      </c>
      <c r="E77" t="s">
        <v>549</v>
      </c>
      <c r="F77" t="s">
        <v>22</v>
      </c>
      <c r="G77" t="s">
        <v>547</v>
      </c>
      <c r="H77" t="s">
        <v>961</v>
      </c>
      <c r="I77" t="s">
        <v>74</v>
      </c>
      <c r="J77" t="s">
        <v>152</v>
      </c>
      <c r="K77">
        <v>1</v>
      </c>
      <c r="L77">
        <v>2023</v>
      </c>
      <c r="M77" t="s">
        <v>1192</v>
      </c>
    </row>
    <row r="78" spans="1:13" x14ac:dyDescent="0.2">
      <c r="A78" t="str">
        <f t="shared" si="1"/>
        <v>2023-2-VBS-PR-LE-2-16S</v>
      </c>
      <c r="B78" t="s">
        <v>731</v>
      </c>
      <c r="C78" s="88">
        <v>45126</v>
      </c>
      <c r="D78" t="s">
        <v>963</v>
      </c>
      <c r="E78" t="s">
        <v>549</v>
      </c>
      <c r="F78" t="s">
        <v>22</v>
      </c>
      <c r="G78" t="s">
        <v>547</v>
      </c>
      <c r="H78" t="s">
        <v>961</v>
      </c>
      <c r="I78" t="s">
        <v>74</v>
      </c>
      <c r="J78" t="s">
        <v>152</v>
      </c>
      <c r="K78">
        <v>2</v>
      </c>
      <c r="L78">
        <v>2023</v>
      </c>
      <c r="M78" t="s">
        <v>1193</v>
      </c>
    </row>
    <row r="79" spans="1:13" x14ac:dyDescent="0.2">
      <c r="A79" t="str">
        <f t="shared" si="1"/>
        <v>2023-2-VBS-PR-LE-3-16S</v>
      </c>
      <c r="B79" t="s">
        <v>820</v>
      </c>
      <c r="C79" s="88">
        <v>45126</v>
      </c>
      <c r="D79" t="s">
        <v>963</v>
      </c>
      <c r="E79" t="s">
        <v>549</v>
      </c>
      <c r="F79" t="s">
        <v>22</v>
      </c>
      <c r="G79" t="s">
        <v>547</v>
      </c>
      <c r="H79" t="s">
        <v>961</v>
      </c>
      <c r="I79" t="s">
        <v>74</v>
      </c>
      <c r="J79" t="s">
        <v>152</v>
      </c>
      <c r="K79">
        <v>3</v>
      </c>
      <c r="L79">
        <v>2023</v>
      </c>
      <c r="M79" t="s">
        <v>1194</v>
      </c>
    </row>
    <row r="80" spans="1:13" x14ac:dyDescent="0.2">
      <c r="A80" t="str">
        <f t="shared" si="1"/>
        <v>2023-2-VBS-LI-LE-1-16S</v>
      </c>
      <c r="B80" t="s">
        <v>827</v>
      </c>
      <c r="C80" s="88">
        <v>45126</v>
      </c>
      <c r="D80" t="s">
        <v>963</v>
      </c>
      <c r="E80" t="s">
        <v>549</v>
      </c>
      <c r="F80" t="s">
        <v>22</v>
      </c>
      <c r="G80" t="s">
        <v>547</v>
      </c>
      <c r="H80" t="s">
        <v>961</v>
      </c>
      <c r="I80" t="s">
        <v>36</v>
      </c>
      <c r="J80" t="s">
        <v>152</v>
      </c>
      <c r="K80">
        <v>1</v>
      </c>
      <c r="L80">
        <v>2023</v>
      </c>
      <c r="M80" t="s">
        <v>1201</v>
      </c>
    </row>
    <row r="81" spans="1:13" x14ac:dyDescent="0.2">
      <c r="A81" t="str">
        <f t="shared" si="1"/>
        <v>2023-2-VBS-LI-LE-2-16S</v>
      </c>
      <c r="B81" t="s">
        <v>654</v>
      </c>
      <c r="C81" s="88">
        <v>45126</v>
      </c>
      <c r="D81" t="s">
        <v>963</v>
      </c>
      <c r="E81" t="s">
        <v>549</v>
      </c>
      <c r="F81" t="s">
        <v>22</v>
      </c>
      <c r="G81" t="s">
        <v>547</v>
      </c>
      <c r="H81" t="s">
        <v>961</v>
      </c>
      <c r="I81" t="s">
        <v>36</v>
      </c>
      <c r="J81" t="s">
        <v>152</v>
      </c>
      <c r="K81">
        <v>2</v>
      </c>
      <c r="L81">
        <v>2023</v>
      </c>
      <c r="M81" t="s">
        <v>1202</v>
      </c>
    </row>
    <row r="82" spans="1:13" x14ac:dyDescent="0.2">
      <c r="A82" t="str">
        <f t="shared" si="1"/>
        <v>2023-2-VBS-LI-LE-3-16S</v>
      </c>
      <c r="B82" t="s">
        <v>828</v>
      </c>
      <c r="C82" s="88">
        <v>45126</v>
      </c>
      <c r="D82" t="s">
        <v>963</v>
      </c>
      <c r="E82" t="s">
        <v>549</v>
      </c>
      <c r="F82" t="s">
        <v>22</v>
      </c>
      <c r="G82" t="s">
        <v>547</v>
      </c>
      <c r="H82" t="s">
        <v>961</v>
      </c>
      <c r="I82" t="s">
        <v>36</v>
      </c>
      <c r="J82" t="s">
        <v>152</v>
      </c>
      <c r="K82">
        <v>3</v>
      </c>
      <c r="L82">
        <v>2023</v>
      </c>
      <c r="M82" t="s">
        <v>1203</v>
      </c>
    </row>
    <row r="83" spans="1:13" x14ac:dyDescent="0.2">
      <c r="A83" t="str">
        <f t="shared" si="1"/>
        <v>2023-3-ASB-CL-LE-1-16S</v>
      </c>
      <c r="B83" t="s">
        <v>851</v>
      </c>
      <c r="C83" s="88">
        <v>45161</v>
      </c>
      <c r="D83" t="s">
        <v>964</v>
      </c>
      <c r="E83" t="s">
        <v>551</v>
      </c>
      <c r="F83" t="s">
        <v>16</v>
      </c>
      <c r="G83" t="s">
        <v>548</v>
      </c>
      <c r="H83" t="s">
        <v>960</v>
      </c>
      <c r="I83" t="s">
        <v>43</v>
      </c>
      <c r="J83" t="s">
        <v>152</v>
      </c>
      <c r="K83">
        <v>1</v>
      </c>
      <c r="L83">
        <v>2023</v>
      </c>
      <c r="M83" t="s">
        <v>1237</v>
      </c>
    </row>
    <row r="84" spans="1:13" x14ac:dyDescent="0.2">
      <c r="A84" t="str">
        <f t="shared" si="1"/>
        <v>2023-3-ASB-CL-LE-2-16S</v>
      </c>
      <c r="B84" t="s">
        <v>852</v>
      </c>
      <c r="C84" s="88">
        <v>45161</v>
      </c>
      <c r="D84" t="s">
        <v>964</v>
      </c>
      <c r="E84" t="s">
        <v>551</v>
      </c>
      <c r="F84" t="s">
        <v>16</v>
      </c>
      <c r="G84" t="s">
        <v>548</v>
      </c>
      <c r="H84" t="s">
        <v>960</v>
      </c>
      <c r="I84" t="s">
        <v>43</v>
      </c>
      <c r="J84" t="s">
        <v>152</v>
      </c>
      <c r="K84">
        <v>2</v>
      </c>
      <c r="L84">
        <v>2023</v>
      </c>
      <c r="M84" t="s">
        <v>1238</v>
      </c>
    </row>
    <row r="85" spans="1:13" x14ac:dyDescent="0.2">
      <c r="A85" t="str">
        <f t="shared" si="1"/>
        <v>2023-3-ASB-CL-LE-3-16S</v>
      </c>
      <c r="B85" t="s">
        <v>559</v>
      </c>
      <c r="C85" s="88">
        <v>45161</v>
      </c>
      <c r="D85" t="s">
        <v>964</v>
      </c>
      <c r="E85" t="s">
        <v>551</v>
      </c>
      <c r="F85" t="s">
        <v>16</v>
      </c>
      <c r="G85" t="s">
        <v>548</v>
      </c>
      <c r="H85" t="s">
        <v>960</v>
      </c>
      <c r="I85" t="s">
        <v>43</v>
      </c>
      <c r="J85" t="s">
        <v>152</v>
      </c>
      <c r="K85">
        <v>3</v>
      </c>
      <c r="L85">
        <v>2023</v>
      </c>
      <c r="M85" t="s">
        <v>1239</v>
      </c>
    </row>
    <row r="86" spans="1:13" x14ac:dyDescent="0.2">
      <c r="A86" t="str">
        <f t="shared" si="1"/>
        <v>2023-3-ASB-PR-LE-1-16S</v>
      </c>
      <c r="B86" t="s">
        <v>853</v>
      </c>
      <c r="C86" s="88">
        <v>45161</v>
      </c>
      <c r="D86" t="s">
        <v>964</v>
      </c>
      <c r="E86" t="s">
        <v>551</v>
      </c>
      <c r="F86" t="s">
        <v>16</v>
      </c>
      <c r="G86" t="s">
        <v>548</v>
      </c>
      <c r="H86" t="s">
        <v>960</v>
      </c>
      <c r="I86" t="s">
        <v>74</v>
      </c>
      <c r="J86" t="s">
        <v>152</v>
      </c>
      <c r="K86">
        <v>1</v>
      </c>
      <c r="L86">
        <v>2023</v>
      </c>
      <c r="M86" t="s">
        <v>1240</v>
      </c>
    </row>
    <row r="87" spans="1:13" x14ac:dyDescent="0.2">
      <c r="A87" t="str">
        <f t="shared" si="1"/>
        <v>2023-3-ASB-PR-LE-2-16S</v>
      </c>
      <c r="B87" t="s">
        <v>854</v>
      </c>
      <c r="C87" s="88">
        <v>45161</v>
      </c>
      <c r="D87" t="s">
        <v>964</v>
      </c>
      <c r="E87" t="s">
        <v>551</v>
      </c>
      <c r="F87" t="s">
        <v>16</v>
      </c>
      <c r="G87" t="s">
        <v>548</v>
      </c>
      <c r="H87" t="s">
        <v>960</v>
      </c>
      <c r="I87" t="s">
        <v>74</v>
      </c>
      <c r="J87" t="s">
        <v>152</v>
      </c>
      <c r="K87">
        <v>2</v>
      </c>
      <c r="L87">
        <v>2023</v>
      </c>
      <c r="M87" t="s">
        <v>1241</v>
      </c>
    </row>
    <row r="88" spans="1:13" x14ac:dyDescent="0.2">
      <c r="A88" t="str">
        <f t="shared" si="1"/>
        <v>2023-3-ASB-PR-LE-3-16S</v>
      </c>
      <c r="B88" t="s">
        <v>567</v>
      </c>
      <c r="C88" s="88">
        <v>45161</v>
      </c>
      <c r="D88" t="s">
        <v>964</v>
      </c>
      <c r="E88" t="s">
        <v>551</v>
      </c>
      <c r="F88" t="s">
        <v>16</v>
      </c>
      <c r="G88" t="s">
        <v>548</v>
      </c>
      <c r="H88" t="s">
        <v>960</v>
      </c>
      <c r="I88" t="s">
        <v>74</v>
      </c>
      <c r="J88" t="s">
        <v>152</v>
      </c>
      <c r="K88">
        <v>3</v>
      </c>
      <c r="L88">
        <v>2023</v>
      </c>
      <c r="M88" t="s">
        <v>1242</v>
      </c>
    </row>
    <row r="89" spans="1:13" x14ac:dyDescent="0.2">
      <c r="A89" t="str">
        <f t="shared" si="1"/>
        <v>2023-3-ASB-LI-LE-1-16S</v>
      </c>
      <c r="B89" t="s">
        <v>859</v>
      </c>
      <c r="C89" s="88">
        <v>45161</v>
      </c>
      <c r="D89" t="s">
        <v>964</v>
      </c>
      <c r="E89" t="s">
        <v>551</v>
      </c>
      <c r="F89" t="s">
        <v>16</v>
      </c>
      <c r="G89" t="s">
        <v>548</v>
      </c>
      <c r="H89" t="s">
        <v>960</v>
      </c>
      <c r="I89" t="s">
        <v>36</v>
      </c>
      <c r="J89" t="s">
        <v>152</v>
      </c>
      <c r="K89">
        <v>1</v>
      </c>
      <c r="L89">
        <v>2023</v>
      </c>
      <c r="M89" t="s">
        <v>1249</v>
      </c>
    </row>
    <row r="90" spans="1:13" x14ac:dyDescent="0.2">
      <c r="A90" t="str">
        <f t="shared" si="1"/>
        <v>2023-3-ASB-LI-LE-2-16S</v>
      </c>
      <c r="B90" t="s">
        <v>860</v>
      </c>
      <c r="C90" s="88">
        <v>45161</v>
      </c>
      <c r="D90" t="s">
        <v>964</v>
      </c>
      <c r="E90" t="s">
        <v>551</v>
      </c>
      <c r="F90" t="s">
        <v>16</v>
      </c>
      <c r="G90" t="s">
        <v>548</v>
      </c>
      <c r="H90" t="s">
        <v>960</v>
      </c>
      <c r="I90" t="s">
        <v>36</v>
      </c>
      <c r="J90" t="s">
        <v>152</v>
      </c>
      <c r="K90">
        <v>2</v>
      </c>
      <c r="L90">
        <v>2023</v>
      </c>
      <c r="M90" t="s">
        <v>1250</v>
      </c>
    </row>
    <row r="91" spans="1:13" x14ac:dyDescent="0.2">
      <c r="A91" t="str">
        <f t="shared" si="1"/>
        <v>2023-3-ASB-LI-LE-3-16S</v>
      </c>
      <c r="B91" t="s">
        <v>587</v>
      </c>
      <c r="C91" s="88">
        <v>45161</v>
      </c>
      <c r="D91" t="s">
        <v>964</v>
      </c>
      <c r="E91" t="s">
        <v>551</v>
      </c>
      <c r="F91" t="s">
        <v>16</v>
      </c>
      <c r="G91" t="s">
        <v>548</v>
      </c>
      <c r="H91" t="s">
        <v>960</v>
      </c>
      <c r="I91" t="s">
        <v>36</v>
      </c>
      <c r="J91" t="s">
        <v>152</v>
      </c>
      <c r="K91">
        <v>3</v>
      </c>
      <c r="L91">
        <v>2023</v>
      </c>
      <c r="M91" t="s">
        <v>1251</v>
      </c>
    </row>
    <row r="92" spans="1:13" x14ac:dyDescent="0.2">
      <c r="A92" t="str">
        <f t="shared" si="1"/>
        <v>2023-3-PMB-CL-LE-1-16S</v>
      </c>
      <c r="B92" t="s">
        <v>863</v>
      </c>
      <c r="C92" s="88">
        <v>45159</v>
      </c>
      <c r="D92" t="s">
        <v>964</v>
      </c>
      <c r="E92" t="s">
        <v>8</v>
      </c>
      <c r="F92" t="s">
        <v>9</v>
      </c>
      <c r="G92" t="s">
        <v>545</v>
      </c>
      <c r="H92" t="s">
        <v>960</v>
      </c>
      <c r="I92" t="s">
        <v>43</v>
      </c>
      <c r="J92" t="s">
        <v>152</v>
      </c>
      <c r="K92">
        <v>1</v>
      </c>
      <c r="L92">
        <v>2023</v>
      </c>
      <c r="M92" t="s">
        <v>1255</v>
      </c>
    </row>
    <row r="93" spans="1:13" x14ac:dyDescent="0.2">
      <c r="A93" t="str">
        <f t="shared" si="1"/>
        <v>2023-3-PMB-CL-LE-2-16S</v>
      </c>
      <c r="B93" t="s">
        <v>864</v>
      </c>
      <c r="C93" s="88">
        <v>45159</v>
      </c>
      <c r="D93" t="s">
        <v>964</v>
      </c>
      <c r="E93" t="s">
        <v>8</v>
      </c>
      <c r="F93" t="s">
        <v>9</v>
      </c>
      <c r="G93" t="s">
        <v>545</v>
      </c>
      <c r="H93" t="s">
        <v>960</v>
      </c>
      <c r="I93" t="s">
        <v>43</v>
      </c>
      <c r="J93" t="s">
        <v>152</v>
      </c>
      <c r="K93">
        <v>2</v>
      </c>
      <c r="L93">
        <v>2023</v>
      </c>
      <c r="M93" t="s">
        <v>1256</v>
      </c>
    </row>
    <row r="94" spans="1:13" x14ac:dyDescent="0.2">
      <c r="A94" t="str">
        <f t="shared" si="1"/>
        <v>2023-3-PMB-CL-LE-3-16S</v>
      </c>
      <c r="B94" t="s">
        <v>607</v>
      </c>
      <c r="C94" s="88">
        <v>45159</v>
      </c>
      <c r="D94" t="s">
        <v>964</v>
      </c>
      <c r="E94" t="s">
        <v>8</v>
      </c>
      <c r="F94" t="s">
        <v>9</v>
      </c>
      <c r="G94" t="s">
        <v>545</v>
      </c>
      <c r="H94" t="s">
        <v>960</v>
      </c>
      <c r="I94" t="s">
        <v>43</v>
      </c>
      <c r="J94" t="s">
        <v>152</v>
      </c>
      <c r="K94">
        <v>3</v>
      </c>
      <c r="L94">
        <v>2023</v>
      </c>
      <c r="M94" t="s">
        <v>1257</v>
      </c>
    </row>
    <row r="95" spans="1:13" x14ac:dyDescent="0.2">
      <c r="A95" t="str">
        <f t="shared" si="1"/>
        <v>2023-3-PMB-PR-LE-1-16S</v>
      </c>
      <c r="B95" t="s">
        <v>865</v>
      </c>
      <c r="C95" s="88">
        <v>45159</v>
      </c>
      <c r="D95" t="s">
        <v>964</v>
      </c>
      <c r="E95" t="s">
        <v>8</v>
      </c>
      <c r="F95" t="s">
        <v>9</v>
      </c>
      <c r="G95" t="s">
        <v>545</v>
      </c>
      <c r="H95" t="s">
        <v>960</v>
      </c>
      <c r="I95" t="s">
        <v>74</v>
      </c>
      <c r="J95" t="s">
        <v>152</v>
      </c>
      <c r="K95">
        <v>1</v>
      </c>
      <c r="L95">
        <v>2023</v>
      </c>
      <c r="M95" t="s">
        <v>1258</v>
      </c>
    </row>
    <row r="96" spans="1:13" x14ac:dyDescent="0.2">
      <c r="A96" t="str">
        <f t="shared" si="1"/>
        <v>2023-3-PMB-PR-LE-2-16S</v>
      </c>
      <c r="B96" t="s">
        <v>866</v>
      </c>
      <c r="C96" s="88">
        <v>45159</v>
      </c>
      <c r="D96" t="s">
        <v>964</v>
      </c>
      <c r="E96" t="s">
        <v>8</v>
      </c>
      <c r="F96" t="s">
        <v>9</v>
      </c>
      <c r="G96" t="s">
        <v>545</v>
      </c>
      <c r="H96" t="s">
        <v>960</v>
      </c>
      <c r="I96" t="s">
        <v>74</v>
      </c>
      <c r="J96" t="s">
        <v>152</v>
      </c>
      <c r="K96">
        <v>2</v>
      </c>
      <c r="L96">
        <v>2023</v>
      </c>
      <c r="M96" t="s">
        <v>1259</v>
      </c>
    </row>
    <row r="97" spans="1:13" x14ac:dyDescent="0.2">
      <c r="A97" t="str">
        <f t="shared" si="1"/>
        <v>2023-3-PMB-PR-LE-3-16S</v>
      </c>
      <c r="B97" t="s">
        <v>614</v>
      </c>
      <c r="C97" s="88">
        <v>45159</v>
      </c>
      <c r="D97" t="s">
        <v>964</v>
      </c>
      <c r="E97" t="s">
        <v>8</v>
      </c>
      <c r="F97" t="s">
        <v>9</v>
      </c>
      <c r="G97" t="s">
        <v>545</v>
      </c>
      <c r="H97" t="s">
        <v>960</v>
      </c>
      <c r="I97" t="s">
        <v>74</v>
      </c>
      <c r="J97" t="s">
        <v>152</v>
      </c>
      <c r="K97">
        <v>3</v>
      </c>
      <c r="L97">
        <v>2023</v>
      </c>
      <c r="M97" t="s">
        <v>1260</v>
      </c>
    </row>
    <row r="98" spans="1:13" x14ac:dyDescent="0.2">
      <c r="A98" t="str">
        <f t="shared" si="1"/>
        <v>2023-3-PMB-LI-LE-1-16S</v>
      </c>
      <c r="B98" t="s">
        <v>871</v>
      </c>
      <c r="C98" s="88">
        <v>45159</v>
      </c>
      <c r="D98" t="s">
        <v>964</v>
      </c>
      <c r="E98" t="s">
        <v>8</v>
      </c>
      <c r="F98" t="s">
        <v>9</v>
      </c>
      <c r="G98" t="s">
        <v>545</v>
      </c>
      <c r="H98" t="s">
        <v>960</v>
      </c>
      <c r="I98" t="s">
        <v>36</v>
      </c>
      <c r="J98" t="s">
        <v>152</v>
      </c>
      <c r="K98">
        <v>1</v>
      </c>
      <c r="L98">
        <v>2023</v>
      </c>
      <c r="M98" t="s">
        <v>1267</v>
      </c>
    </row>
    <row r="99" spans="1:13" x14ac:dyDescent="0.2">
      <c r="A99" t="str">
        <f t="shared" si="1"/>
        <v>2023-3-PMB-LI-LE-2-16S</v>
      </c>
      <c r="B99" t="s">
        <v>872</v>
      </c>
      <c r="C99" s="88">
        <v>45159</v>
      </c>
      <c r="D99" t="s">
        <v>964</v>
      </c>
      <c r="E99" t="s">
        <v>8</v>
      </c>
      <c r="F99" t="s">
        <v>9</v>
      </c>
      <c r="G99" t="s">
        <v>545</v>
      </c>
      <c r="H99" t="s">
        <v>960</v>
      </c>
      <c r="I99" t="s">
        <v>36</v>
      </c>
      <c r="J99" t="s">
        <v>152</v>
      </c>
      <c r="K99">
        <v>2</v>
      </c>
      <c r="L99">
        <v>2023</v>
      </c>
      <c r="M99" t="s">
        <v>1268</v>
      </c>
    </row>
    <row r="100" spans="1:13" x14ac:dyDescent="0.2">
      <c r="A100" t="str">
        <f t="shared" si="1"/>
        <v>2023-3-PMB-LI-LE-3-16S</v>
      </c>
      <c r="B100" t="s">
        <v>635</v>
      </c>
      <c r="C100" s="88">
        <v>45159</v>
      </c>
      <c r="D100" t="s">
        <v>964</v>
      </c>
      <c r="E100" t="s">
        <v>8</v>
      </c>
      <c r="F100" t="s">
        <v>9</v>
      </c>
      <c r="G100" t="s">
        <v>545</v>
      </c>
      <c r="H100" t="s">
        <v>960</v>
      </c>
      <c r="I100" t="s">
        <v>36</v>
      </c>
      <c r="J100" t="s">
        <v>152</v>
      </c>
      <c r="K100">
        <v>3</v>
      </c>
      <c r="L100">
        <v>2023</v>
      </c>
      <c r="M100" t="s">
        <v>1269</v>
      </c>
    </row>
    <row r="101" spans="1:13" x14ac:dyDescent="0.2">
      <c r="A101" t="str">
        <f t="shared" si="1"/>
        <v>2023-3-VBS-CL-LE-1-16S</v>
      </c>
      <c r="B101" t="s">
        <v>885</v>
      </c>
      <c r="C101" s="88">
        <v>45159</v>
      </c>
      <c r="D101" t="s">
        <v>964</v>
      </c>
      <c r="E101" t="s">
        <v>549</v>
      </c>
      <c r="F101" t="s">
        <v>22</v>
      </c>
      <c r="G101" t="s">
        <v>547</v>
      </c>
      <c r="H101" t="s">
        <v>961</v>
      </c>
      <c r="I101" t="s">
        <v>43</v>
      </c>
      <c r="J101" t="s">
        <v>152</v>
      </c>
      <c r="K101">
        <v>1</v>
      </c>
      <c r="L101">
        <v>2023</v>
      </c>
      <c r="M101" t="s">
        <v>1288</v>
      </c>
    </row>
    <row r="102" spans="1:13" x14ac:dyDescent="0.2">
      <c r="A102" t="str">
        <f t="shared" si="1"/>
        <v>2023-3-VBS-CL-LE-2-16S</v>
      </c>
      <c r="B102" t="s">
        <v>886</v>
      </c>
      <c r="C102" s="88">
        <v>45159</v>
      </c>
      <c r="D102" t="s">
        <v>964</v>
      </c>
      <c r="E102" t="s">
        <v>549</v>
      </c>
      <c r="F102" t="s">
        <v>22</v>
      </c>
      <c r="G102" t="s">
        <v>547</v>
      </c>
      <c r="H102" t="s">
        <v>961</v>
      </c>
      <c r="I102" t="s">
        <v>43</v>
      </c>
      <c r="J102" t="s">
        <v>152</v>
      </c>
      <c r="K102">
        <v>2</v>
      </c>
      <c r="L102">
        <v>2023</v>
      </c>
      <c r="M102" t="s">
        <v>1289</v>
      </c>
    </row>
    <row r="103" spans="1:13" x14ac:dyDescent="0.2">
      <c r="A103" t="str">
        <f t="shared" si="1"/>
        <v>2023-3-VBS-CL-LE-3-16S</v>
      </c>
      <c r="B103" t="s">
        <v>724</v>
      </c>
      <c r="C103" s="88">
        <v>45159</v>
      </c>
      <c r="D103" t="s">
        <v>964</v>
      </c>
      <c r="E103" t="s">
        <v>549</v>
      </c>
      <c r="F103" t="s">
        <v>22</v>
      </c>
      <c r="G103" t="s">
        <v>547</v>
      </c>
      <c r="H103" t="s">
        <v>961</v>
      </c>
      <c r="I103" t="s">
        <v>43</v>
      </c>
      <c r="J103" t="s">
        <v>152</v>
      </c>
      <c r="K103">
        <v>3</v>
      </c>
      <c r="L103">
        <v>2023</v>
      </c>
      <c r="M103" t="s">
        <v>1290</v>
      </c>
    </row>
    <row r="104" spans="1:13" x14ac:dyDescent="0.2">
      <c r="A104" t="str">
        <f t="shared" si="1"/>
        <v>2023-3-VBS-PR-LE-1-16S</v>
      </c>
      <c r="B104" t="s">
        <v>887</v>
      </c>
      <c r="C104" s="88">
        <v>45159</v>
      </c>
      <c r="D104" t="s">
        <v>964</v>
      </c>
      <c r="E104" t="s">
        <v>549</v>
      </c>
      <c r="F104" t="s">
        <v>22</v>
      </c>
      <c r="G104" t="s">
        <v>547</v>
      </c>
      <c r="H104" t="s">
        <v>961</v>
      </c>
      <c r="I104" t="s">
        <v>74</v>
      </c>
      <c r="J104" t="s">
        <v>152</v>
      </c>
      <c r="K104">
        <v>1</v>
      </c>
      <c r="L104">
        <v>2023</v>
      </c>
      <c r="M104" t="s">
        <v>1291</v>
      </c>
    </row>
    <row r="105" spans="1:13" x14ac:dyDescent="0.2">
      <c r="A105" t="str">
        <f t="shared" si="1"/>
        <v>2023-3-VBS-PR-LE-2-16S</v>
      </c>
      <c r="B105" t="s">
        <v>888</v>
      </c>
      <c r="C105" s="88">
        <v>45159</v>
      </c>
      <c r="D105" t="s">
        <v>964</v>
      </c>
      <c r="E105" t="s">
        <v>549</v>
      </c>
      <c r="F105" t="s">
        <v>22</v>
      </c>
      <c r="G105" t="s">
        <v>547</v>
      </c>
      <c r="H105" t="s">
        <v>961</v>
      </c>
      <c r="I105" t="s">
        <v>74</v>
      </c>
      <c r="J105" t="s">
        <v>152</v>
      </c>
      <c r="K105">
        <v>2</v>
      </c>
      <c r="L105">
        <v>2023</v>
      </c>
      <c r="M105" t="s">
        <v>1292</v>
      </c>
    </row>
    <row r="106" spans="1:13" x14ac:dyDescent="0.2">
      <c r="A106" t="str">
        <f t="shared" si="1"/>
        <v>2023-3-VBS-PR-LE-3-16S</v>
      </c>
      <c r="B106" t="s">
        <v>732</v>
      </c>
      <c r="C106" s="88">
        <v>45159</v>
      </c>
      <c r="D106" t="s">
        <v>964</v>
      </c>
      <c r="E106" t="s">
        <v>549</v>
      </c>
      <c r="F106" t="s">
        <v>22</v>
      </c>
      <c r="G106" t="s">
        <v>547</v>
      </c>
      <c r="H106" t="s">
        <v>961</v>
      </c>
      <c r="I106" t="s">
        <v>74</v>
      </c>
      <c r="J106" t="s">
        <v>152</v>
      </c>
      <c r="K106">
        <v>3</v>
      </c>
      <c r="L106">
        <v>2023</v>
      </c>
      <c r="M106" t="s">
        <v>1293</v>
      </c>
    </row>
    <row r="107" spans="1:13" x14ac:dyDescent="0.2">
      <c r="A107" t="str">
        <f t="shared" si="1"/>
        <v>2023-3-VBS-LI-LE-1-16S</v>
      </c>
      <c r="B107" t="s">
        <v>893</v>
      </c>
      <c r="C107" s="88">
        <v>45159</v>
      </c>
      <c r="D107" t="s">
        <v>964</v>
      </c>
      <c r="E107" t="s">
        <v>549</v>
      </c>
      <c r="F107" t="s">
        <v>22</v>
      </c>
      <c r="G107" t="s">
        <v>547</v>
      </c>
      <c r="H107" t="s">
        <v>961</v>
      </c>
      <c r="I107" t="s">
        <v>36</v>
      </c>
      <c r="J107" t="s">
        <v>152</v>
      </c>
      <c r="K107">
        <v>1</v>
      </c>
      <c r="L107">
        <v>2023</v>
      </c>
      <c r="M107" t="s">
        <v>1300</v>
      </c>
    </row>
    <row r="108" spans="1:13" x14ac:dyDescent="0.2">
      <c r="A108" t="str">
        <f t="shared" si="1"/>
        <v>2023-3-VBS-LI-LE-2-16S</v>
      </c>
      <c r="B108" t="s">
        <v>894</v>
      </c>
      <c r="C108" s="88">
        <v>45159</v>
      </c>
      <c r="D108" t="s">
        <v>964</v>
      </c>
      <c r="E108" t="s">
        <v>549</v>
      </c>
      <c r="F108" t="s">
        <v>22</v>
      </c>
      <c r="G108" t="s">
        <v>547</v>
      </c>
      <c r="H108" t="s">
        <v>961</v>
      </c>
      <c r="I108" t="s">
        <v>36</v>
      </c>
      <c r="J108" t="s">
        <v>152</v>
      </c>
      <c r="K108">
        <v>2</v>
      </c>
      <c r="L108">
        <v>2023</v>
      </c>
      <c r="M108" t="s">
        <v>1301</v>
      </c>
    </row>
    <row r="109" spans="1:13" x14ac:dyDescent="0.2">
      <c r="A109" t="str">
        <f t="shared" si="1"/>
        <v>2023-3-VBS-LI-LE-3-16S</v>
      </c>
      <c r="B109" t="s">
        <v>655</v>
      </c>
      <c r="C109" s="88">
        <v>45159</v>
      </c>
      <c r="D109" t="s">
        <v>964</v>
      </c>
      <c r="E109" t="s">
        <v>549</v>
      </c>
      <c r="F109" t="s">
        <v>22</v>
      </c>
      <c r="G109" t="s">
        <v>547</v>
      </c>
      <c r="H109" t="s">
        <v>961</v>
      </c>
      <c r="I109" t="s">
        <v>36</v>
      </c>
      <c r="J109" t="s">
        <v>152</v>
      </c>
      <c r="K109">
        <v>3</v>
      </c>
      <c r="L109">
        <v>2023</v>
      </c>
      <c r="M109" t="s">
        <v>1302</v>
      </c>
    </row>
    <row r="110" spans="1:13" x14ac:dyDescent="0.2">
      <c r="A110" t="str">
        <f t="shared" si="1"/>
        <v>2023-1-PMB-LI-LE-1-16S</v>
      </c>
      <c r="B110" t="s">
        <v>633</v>
      </c>
      <c r="C110" s="88">
        <v>44698</v>
      </c>
      <c r="D110" s="88" t="s">
        <v>962</v>
      </c>
      <c r="E110" t="s">
        <v>8</v>
      </c>
      <c r="F110" t="s">
        <v>9</v>
      </c>
      <c r="G110" t="s">
        <v>545</v>
      </c>
      <c r="H110" t="s">
        <v>960</v>
      </c>
      <c r="I110" t="s">
        <v>36</v>
      </c>
      <c r="J110" t="s">
        <v>152</v>
      </c>
      <c r="K110">
        <v>1</v>
      </c>
      <c r="L110">
        <v>2022</v>
      </c>
      <c r="M110" t="str">
        <f>L110&amp;"-"&amp;B110</f>
        <v>2022-1-PMB-LI-LE-1</v>
      </c>
    </row>
    <row r="111" spans="1:13" x14ac:dyDescent="0.2">
      <c r="A111" t="str">
        <f t="shared" si="1"/>
        <v>2023-1-PMB-LI-FL-1-16S</v>
      </c>
      <c r="B111" t="s">
        <v>632</v>
      </c>
      <c r="C111" s="88">
        <v>44698</v>
      </c>
      <c r="D111" s="88" t="s">
        <v>962</v>
      </c>
      <c r="E111" t="s">
        <v>8</v>
      </c>
      <c r="F111" t="s">
        <v>9</v>
      </c>
      <c r="G111" t="s">
        <v>545</v>
      </c>
      <c r="H111" t="s">
        <v>960</v>
      </c>
      <c r="I111" t="s">
        <v>36</v>
      </c>
      <c r="J111" t="s">
        <v>151</v>
      </c>
      <c r="K111">
        <v>1</v>
      </c>
      <c r="L111">
        <v>2022</v>
      </c>
      <c r="M111" t="str">
        <f t="shared" ref="M111:M174" si="2">L111&amp;"-"&amp;B111</f>
        <v>2022-1-PMB-LI-FL-1</v>
      </c>
    </row>
    <row r="112" spans="1:13" x14ac:dyDescent="0.2">
      <c r="A112" t="str">
        <f t="shared" si="1"/>
        <v>2023-1-PMB-LI-LE-2-16S</v>
      </c>
      <c r="B112" t="s">
        <v>683</v>
      </c>
      <c r="C112" s="88">
        <v>44698</v>
      </c>
      <c r="D112" s="88" t="s">
        <v>962</v>
      </c>
      <c r="E112" t="s">
        <v>8</v>
      </c>
      <c r="F112" t="s">
        <v>9</v>
      </c>
      <c r="G112" t="s">
        <v>545</v>
      </c>
      <c r="H112" t="s">
        <v>960</v>
      </c>
      <c r="I112" t="s">
        <v>36</v>
      </c>
      <c r="J112" t="s">
        <v>152</v>
      </c>
      <c r="K112">
        <v>2</v>
      </c>
      <c r="L112">
        <v>2022</v>
      </c>
      <c r="M112" t="str">
        <f t="shared" si="2"/>
        <v>2022-1-PMB-LI-LE-2</v>
      </c>
    </row>
    <row r="113" spans="1:13" x14ac:dyDescent="0.2">
      <c r="A113" t="str">
        <f t="shared" si="1"/>
        <v>2023-1-PMB-LI-FL-2-16S</v>
      </c>
      <c r="B113" t="s">
        <v>682</v>
      </c>
      <c r="C113" s="88">
        <v>44698</v>
      </c>
      <c r="D113" s="88" t="s">
        <v>962</v>
      </c>
      <c r="E113" t="s">
        <v>8</v>
      </c>
      <c r="F113" t="s">
        <v>9</v>
      </c>
      <c r="G113" t="s">
        <v>545</v>
      </c>
      <c r="H113" t="s">
        <v>960</v>
      </c>
      <c r="I113" t="s">
        <v>36</v>
      </c>
      <c r="J113" t="s">
        <v>151</v>
      </c>
      <c r="K113">
        <v>2</v>
      </c>
      <c r="L113">
        <v>2022</v>
      </c>
      <c r="M113" t="str">
        <f t="shared" si="2"/>
        <v>2022-1-PMB-LI-FL-2</v>
      </c>
    </row>
    <row r="114" spans="1:13" x14ac:dyDescent="0.2">
      <c r="A114" t="str">
        <f t="shared" si="1"/>
        <v>2023-1-PMB-LI-LE-3-16S</v>
      </c>
      <c r="B114" t="s">
        <v>685</v>
      </c>
      <c r="C114" s="88">
        <v>44698</v>
      </c>
      <c r="D114" s="88" t="s">
        <v>962</v>
      </c>
      <c r="E114" t="s">
        <v>8</v>
      </c>
      <c r="F114" t="s">
        <v>9</v>
      </c>
      <c r="G114" t="s">
        <v>545</v>
      </c>
      <c r="H114" t="s">
        <v>960</v>
      </c>
      <c r="I114" t="s">
        <v>36</v>
      </c>
      <c r="J114" t="s">
        <v>152</v>
      </c>
      <c r="K114">
        <v>3</v>
      </c>
      <c r="L114">
        <v>2022</v>
      </c>
      <c r="M114" t="str">
        <f t="shared" si="2"/>
        <v>2022-1-PMB-LI-LE-3</v>
      </c>
    </row>
    <row r="115" spans="1:13" x14ac:dyDescent="0.2">
      <c r="A115" t="str">
        <f t="shared" si="1"/>
        <v>2023-1-PMB-LI-FL-3-16S</v>
      </c>
      <c r="B115" t="s">
        <v>684</v>
      </c>
      <c r="C115" s="88">
        <v>44698</v>
      </c>
      <c r="D115" s="88" t="s">
        <v>962</v>
      </c>
      <c r="E115" t="s">
        <v>8</v>
      </c>
      <c r="F115" t="s">
        <v>9</v>
      </c>
      <c r="G115" t="s">
        <v>545</v>
      </c>
      <c r="H115" t="s">
        <v>960</v>
      </c>
      <c r="I115" t="s">
        <v>36</v>
      </c>
      <c r="J115" t="s">
        <v>151</v>
      </c>
      <c r="K115">
        <v>3</v>
      </c>
      <c r="L115">
        <v>2022</v>
      </c>
      <c r="M115" t="str">
        <f t="shared" si="2"/>
        <v>2022-1-PMB-LI-FL-3</v>
      </c>
    </row>
    <row r="116" spans="1:13" x14ac:dyDescent="0.2">
      <c r="A116" t="str">
        <f t="shared" si="1"/>
        <v>2023-1-PMB-LI-LE-4-16S</v>
      </c>
      <c r="B116" t="s">
        <v>1337</v>
      </c>
      <c r="C116" s="88">
        <v>44698</v>
      </c>
      <c r="D116" s="88" t="s">
        <v>962</v>
      </c>
      <c r="E116" t="s">
        <v>8</v>
      </c>
      <c r="F116" t="s">
        <v>9</v>
      </c>
      <c r="G116" t="s">
        <v>545</v>
      </c>
      <c r="H116" t="s">
        <v>960</v>
      </c>
      <c r="I116" t="s">
        <v>36</v>
      </c>
      <c r="J116" t="s">
        <v>152</v>
      </c>
      <c r="K116">
        <v>4</v>
      </c>
      <c r="L116">
        <v>2022</v>
      </c>
      <c r="M116" t="str">
        <f t="shared" si="2"/>
        <v>2022-1-PMB-LI-LE-4</v>
      </c>
    </row>
    <row r="117" spans="1:13" x14ac:dyDescent="0.2">
      <c r="A117" t="str">
        <f t="shared" si="1"/>
        <v>2023-1-PMB-LI-FL-4-16S</v>
      </c>
      <c r="B117" t="s">
        <v>1338</v>
      </c>
      <c r="C117" s="88">
        <v>44698</v>
      </c>
      <c r="D117" s="88" t="s">
        <v>962</v>
      </c>
      <c r="E117" t="s">
        <v>8</v>
      </c>
      <c r="F117" t="s">
        <v>9</v>
      </c>
      <c r="G117" t="s">
        <v>545</v>
      </c>
      <c r="H117" t="s">
        <v>960</v>
      </c>
      <c r="I117" t="s">
        <v>36</v>
      </c>
      <c r="J117" t="s">
        <v>151</v>
      </c>
      <c r="K117">
        <v>4</v>
      </c>
      <c r="L117">
        <v>2022</v>
      </c>
      <c r="M117" t="str">
        <f t="shared" si="2"/>
        <v>2022-1-PMB-LI-FL-4</v>
      </c>
    </row>
    <row r="118" spans="1:13" x14ac:dyDescent="0.2">
      <c r="A118" t="str">
        <f t="shared" si="1"/>
        <v>2023-1-PMB-LI-LE-5-16S</v>
      </c>
      <c r="B118" t="s">
        <v>1339</v>
      </c>
      <c r="C118" s="88">
        <v>44698</v>
      </c>
      <c r="D118" s="88" t="s">
        <v>962</v>
      </c>
      <c r="E118" t="s">
        <v>8</v>
      </c>
      <c r="F118" t="s">
        <v>9</v>
      </c>
      <c r="G118" t="s">
        <v>545</v>
      </c>
      <c r="H118" t="s">
        <v>960</v>
      </c>
      <c r="I118" t="s">
        <v>36</v>
      </c>
      <c r="J118" t="s">
        <v>152</v>
      </c>
      <c r="K118">
        <v>5</v>
      </c>
      <c r="L118">
        <v>2022</v>
      </c>
      <c r="M118" t="str">
        <f t="shared" si="2"/>
        <v>2022-1-PMB-LI-LE-5</v>
      </c>
    </row>
    <row r="119" spans="1:13" x14ac:dyDescent="0.2">
      <c r="A119" t="str">
        <f t="shared" si="1"/>
        <v>2023-1-PMB-LI-FL-5-16S</v>
      </c>
      <c r="B119" t="s">
        <v>1340</v>
      </c>
      <c r="C119" s="88">
        <v>44698</v>
      </c>
      <c r="D119" s="88" t="s">
        <v>962</v>
      </c>
      <c r="E119" t="s">
        <v>8</v>
      </c>
      <c r="F119" t="s">
        <v>9</v>
      </c>
      <c r="G119" t="s">
        <v>545</v>
      </c>
      <c r="H119" t="s">
        <v>960</v>
      </c>
      <c r="I119" t="s">
        <v>36</v>
      </c>
      <c r="J119" t="s">
        <v>151</v>
      </c>
      <c r="K119">
        <v>5</v>
      </c>
      <c r="L119">
        <v>2022</v>
      </c>
      <c r="M119" t="str">
        <f t="shared" si="2"/>
        <v>2022-1-PMB-LI-FL-5</v>
      </c>
    </row>
    <row r="120" spans="1:13" x14ac:dyDescent="0.2">
      <c r="A120" t="str">
        <f t="shared" si="1"/>
        <v>2023-1-PMB-CL-LE-1-16S</v>
      </c>
      <c r="B120" t="s">
        <v>605</v>
      </c>
      <c r="C120" s="88">
        <v>44698</v>
      </c>
      <c r="D120" s="88" t="s">
        <v>962</v>
      </c>
      <c r="E120" t="s">
        <v>8</v>
      </c>
      <c r="F120" t="s">
        <v>9</v>
      </c>
      <c r="G120" t="s">
        <v>545</v>
      </c>
      <c r="H120" t="s">
        <v>960</v>
      </c>
      <c r="I120" t="s">
        <v>43</v>
      </c>
      <c r="J120" t="s">
        <v>152</v>
      </c>
      <c r="K120">
        <v>1</v>
      </c>
      <c r="L120">
        <v>2022</v>
      </c>
      <c r="M120" t="str">
        <f t="shared" si="2"/>
        <v>2022-1-PMB-CL-LE-1</v>
      </c>
    </row>
    <row r="121" spans="1:13" x14ac:dyDescent="0.2">
      <c r="A121" t="str">
        <f t="shared" si="1"/>
        <v>2023-1-PMB-CL-FL-1-16S</v>
      </c>
      <c r="B121" t="s">
        <v>604</v>
      </c>
      <c r="C121" s="88">
        <v>44698</v>
      </c>
      <c r="D121" s="88" t="s">
        <v>962</v>
      </c>
      <c r="E121" t="s">
        <v>8</v>
      </c>
      <c r="F121" t="s">
        <v>9</v>
      </c>
      <c r="G121" t="s">
        <v>545</v>
      </c>
      <c r="H121" t="s">
        <v>960</v>
      </c>
      <c r="I121" t="s">
        <v>43</v>
      </c>
      <c r="J121" t="s">
        <v>151</v>
      </c>
      <c r="K121">
        <v>1</v>
      </c>
      <c r="L121">
        <v>2022</v>
      </c>
      <c r="M121" t="str">
        <f t="shared" si="2"/>
        <v>2022-1-PMB-CL-FL-1</v>
      </c>
    </row>
    <row r="122" spans="1:13" x14ac:dyDescent="0.2">
      <c r="A122" t="str">
        <f t="shared" si="1"/>
        <v>2023-1-PMB-CL-LE-2-16S</v>
      </c>
      <c r="B122" t="s">
        <v>609</v>
      </c>
      <c r="C122" s="88">
        <v>44698</v>
      </c>
      <c r="D122" s="88" t="s">
        <v>962</v>
      </c>
      <c r="E122" t="s">
        <v>8</v>
      </c>
      <c r="F122" t="s">
        <v>9</v>
      </c>
      <c r="G122" t="s">
        <v>545</v>
      </c>
      <c r="H122" t="s">
        <v>960</v>
      </c>
      <c r="I122" t="s">
        <v>43</v>
      </c>
      <c r="J122" t="s">
        <v>152</v>
      </c>
      <c r="K122">
        <v>2</v>
      </c>
      <c r="L122">
        <v>2022</v>
      </c>
      <c r="M122" t="str">
        <f t="shared" si="2"/>
        <v>2022-1-PMB-CL-LE-2</v>
      </c>
    </row>
    <row r="123" spans="1:13" x14ac:dyDescent="0.2">
      <c r="A123" t="str">
        <f t="shared" si="1"/>
        <v>2023-1-PMB-CL-FL-2-16S</v>
      </c>
      <c r="B123" t="s">
        <v>608</v>
      </c>
      <c r="C123" s="88">
        <v>44698</v>
      </c>
      <c r="D123" s="88" t="s">
        <v>962</v>
      </c>
      <c r="E123" t="s">
        <v>8</v>
      </c>
      <c r="F123" t="s">
        <v>9</v>
      </c>
      <c r="G123" t="s">
        <v>545</v>
      </c>
      <c r="H123" t="s">
        <v>960</v>
      </c>
      <c r="I123" t="s">
        <v>43</v>
      </c>
      <c r="J123" t="s">
        <v>151</v>
      </c>
      <c r="K123">
        <v>2</v>
      </c>
      <c r="L123">
        <v>2022</v>
      </c>
      <c r="M123" t="str">
        <f t="shared" si="2"/>
        <v>2022-1-PMB-CL-FL-2</v>
      </c>
    </row>
    <row r="124" spans="1:13" x14ac:dyDescent="0.2">
      <c r="A124" t="str">
        <f t="shared" si="1"/>
        <v>2023-1-PMB-CL-LE-3-16S</v>
      </c>
      <c r="B124" t="s">
        <v>611</v>
      </c>
      <c r="C124" s="88">
        <v>44698</v>
      </c>
      <c r="D124" s="88" t="s">
        <v>962</v>
      </c>
      <c r="E124" t="s">
        <v>8</v>
      </c>
      <c r="F124" t="s">
        <v>9</v>
      </c>
      <c r="G124" t="s">
        <v>545</v>
      </c>
      <c r="H124" t="s">
        <v>960</v>
      </c>
      <c r="I124" t="s">
        <v>43</v>
      </c>
      <c r="J124" t="s">
        <v>152</v>
      </c>
      <c r="K124">
        <v>3</v>
      </c>
      <c r="L124">
        <v>2022</v>
      </c>
      <c r="M124" t="str">
        <f t="shared" si="2"/>
        <v>2022-1-PMB-CL-LE-3</v>
      </c>
    </row>
    <row r="125" spans="1:13" x14ac:dyDescent="0.2">
      <c r="A125" t="str">
        <f t="shared" si="1"/>
        <v>2023-1-PMB-CL-FL-3-16S</v>
      </c>
      <c r="B125" t="s">
        <v>610</v>
      </c>
      <c r="C125" s="88">
        <v>44698</v>
      </c>
      <c r="D125" s="88" t="s">
        <v>962</v>
      </c>
      <c r="E125" t="s">
        <v>8</v>
      </c>
      <c r="F125" t="s">
        <v>9</v>
      </c>
      <c r="G125" t="s">
        <v>545</v>
      </c>
      <c r="H125" t="s">
        <v>960</v>
      </c>
      <c r="I125" t="s">
        <v>43</v>
      </c>
      <c r="J125" t="s">
        <v>151</v>
      </c>
      <c r="K125">
        <v>3</v>
      </c>
      <c r="L125">
        <v>2022</v>
      </c>
      <c r="M125" t="str">
        <f t="shared" si="2"/>
        <v>2022-1-PMB-CL-FL-3</v>
      </c>
    </row>
    <row r="126" spans="1:13" x14ac:dyDescent="0.2">
      <c r="A126" t="str">
        <f t="shared" si="1"/>
        <v>2023-1-PMB-CL-LE-4-16S</v>
      </c>
      <c r="B126" t="s">
        <v>1341</v>
      </c>
      <c r="C126" s="88">
        <v>44698</v>
      </c>
      <c r="D126" s="88" t="s">
        <v>962</v>
      </c>
      <c r="E126" t="s">
        <v>8</v>
      </c>
      <c r="F126" t="s">
        <v>9</v>
      </c>
      <c r="G126" t="s">
        <v>545</v>
      </c>
      <c r="H126" t="s">
        <v>960</v>
      </c>
      <c r="I126" t="s">
        <v>43</v>
      </c>
      <c r="J126" t="s">
        <v>152</v>
      </c>
      <c r="K126">
        <v>4</v>
      </c>
      <c r="L126">
        <v>2022</v>
      </c>
      <c r="M126" t="str">
        <f t="shared" si="2"/>
        <v>2022-1-PMB-CL-LE-4</v>
      </c>
    </row>
    <row r="127" spans="1:13" x14ac:dyDescent="0.2">
      <c r="A127" t="str">
        <f t="shared" si="1"/>
        <v>2023-1-PMB-CL-FL-4-16S</v>
      </c>
      <c r="B127" t="s">
        <v>1342</v>
      </c>
      <c r="C127" s="88">
        <v>44698</v>
      </c>
      <c r="D127" s="88" t="s">
        <v>962</v>
      </c>
      <c r="E127" t="s">
        <v>8</v>
      </c>
      <c r="F127" t="s">
        <v>9</v>
      </c>
      <c r="G127" t="s">
        <v>545</v>
      </c>
      <c r="H127" t="s">
        <v>960</v>
      </c>
      <c r="I127" t="s">
        <v>43</v>
      </c>
      <c r="J127" t="s">
        <v>151</v>
      </c>
      <c r="K127">
        <v>4</v>
      </c>
      <c r="L127">
        <v>2022</v>
      </c>
      <c r="M127" t="str">
        <f t="shared" si="2"/>
        <v>2022-1-PMB-CL-FL-4</v>
      </c>
    </row>
    <row r="128" spans="1:13" x14ac:dyDescent="0.2">
      <c r="A128" t="str">
        <f t="shared" si="1"/>
        <v>2023-1-PMB-CL-LE-5-16S</v>
      </c>
      <c r="B128" t="s">
        <v>1343</v>
      </c>
      <c r="C128" s="88">
        <v>44698</v>
      </c>
      <c r="D128" s="88" t="s">
        <v>962</v>
      </c>
      <c r="E128" t="s">
        <v>8</v>
      </c>
      <c r="F128" t="s">
        <v>9</v>
      </c>
      <c r="G128" t="s">
        <v>545</v>
      </c>
      <c r="H128" t="s">
        <v>960</v>
      </c>
      <c r="I128" t="s">
        <v>43</v>
      </c>
      <c r="J128" t="s">
        <v>152</v>
      </c>
      <c r="K128">
        <v>5</v>
      </c>
      <c r="L128">
        <v>2022</v>
      </c>
      <c r="M128" t="str">
        <f t="shared" si="2"/>
        <v>2022-1-PMB-CL-LE-5</v>
      </c>
    </row>
    <row r="129" spans="1:13" x14ac:dyDescent="0.2">
      <c r="A129" t="str">
        <f t="shared" si="1"/>
        <v>2023-1-PMB-CL-FL-5-16S</v>
      </c>
      <c r="B129" t="s">
        <v>1344</v>
      </c>
      <c r="C129" s="88">
        <v>44698</v>
      </c>
      <c r="D129" s="88" t="s">
        <v>962</v>
      </c>
      <c r="E129" t="s">
        <v>8</v>
      </c>
      <c r="F129" t="s">
        <v>9</v>
      </c>
      <c r="G129" t="s">
        <v>545</v>
      </c>
      <c r="H129" t="s">
        <v>960</v>
      </c>
      <c r="I129" t="s">
        <v>43</v>
      </c>
      <c r="J129" t="s">
        <v>151</v>
      </c>
      <c r="K129">
        <v>5</v>
      </c>
      <c r="L129">
        <v>2022</v>
      </c>
      <c r="M129" t="str">
        <f t="shared" si="2"/>
        <v>2022-1-PMB-CL-FL-5</v>
      </c>
    </row>
    <row r="130" spans="1:13" x14ac:dyDescent="0.2">
      <c r="A130" t="str">
        <f t="shared" si="1"/>
        <v>2023-1-PMB-PR-LE-1-16S</v>
      </c>
      <c r="B130" t="s">
        <v>1345</v>
      </c>
      <c r="C130" s="88">
        <v>44698</v>
      </c>
      <c r="D130" s="88" t="s">
        <v>962</v>
      </c>
      <c r="E130" t="s">
        <v>8</v>
      </c>
      <c r="F130" t="s">
        <v>9</v>
      </c>
      <c r="G130" t="s">
        <v>545</v>
      </c>
      <c r="H130" t="s">
        <v>960</v>
      </c>
      <c r="I130" t="s">
        <v>74</v>
      </c>
      <c r="J130" t="s">
        <v>152</v>
      </c>
      <c r="K130">
        <v>1</v>
      </c>
      <c r="L130">
        <v>2022</v>
      </c>
      <c r="M130" t="str">
        <f t="shared" si="2"/>
        <v>2022-1-PMB-PR-LE-1</v>
      </c>
    </row>
    <row r="131" spans="1:13" x14ac:dyDescent="0.2">
      <c r="A131" t="str">
        <f t="shared" ref="A131:A194" si="3" xml:space="preserve"> "2023-" &amp; B131&amp;"-16S"</f>
        <v>2023-1-PMB-PR-FL-1-16S</v>
      </c>
      <c r="B131" t="s">
        <v>612</v>
      </c>
      <c r="C131" s="88">
        <v>44698</v>
      </c>
      <c r="D131" s="88" t="s">
        <v>962</v>
      </c>
      <c r="E131" t="s">
        <v>8</v>
      </c>
      <c r="F131" t="s">
        <v>9</v>
      </c>
      <c r="G131" t="s">
        <v>545</v>
      </c>
      <c r="H131" t="s">
        <v>960</v>
      </c>
      <c r="I131" t="s">
        <v>74</v>
      </c>
      <c r="J131" t="s">
        <v>151</v>
      </c>
      <c r="K131">
        <v>1</v>
      </c>
      <c r="L131">
        <v>2022</v>
      </c>
      <c r="M131" t="str">
        <f t="shared" si="2"/>
        <v>2022-1-PMB-PR-FL-1</v>
      </c>
    </row>
    <row r="132" spans="1:13" x14ac:dyDescent="0.2">
      <c r="A132" t="str">
        <f t="shared" si="3"/>
        <v>2023-1-PMB-PR-LE-2-16S</v>
      </c>
      <c r="B132" t="s">
        <v>1346</v>
      </c>
      <c r="C132" s="88">
        <v>44698</v>
      </c>
      <c r="D132" s="88" t="s">
        <v>962</v>
      </c>
      <c r="E132" t="s">
        <v>8</v>
      </c>
      <c r="F132" t="s">
        <v>9</v>
      </c>
      <c r="G132" t="s">
        <v>545</v>
      </c>
      <c r="H132" t="s">
        <v>960</v>
      </c>
      <c r="I132" t="s">
        <v>74</v>
      </c>
      <c r="J132" t="s">
        <v>152</v>
      </c>
      <c r="K132">
        <v>2</v>
      </c>
      <c r="L132">
        <v>2022</v>
      </c>
      <c r="M132" t="str">
        <f t="shared" si="2"/>
        <v>2022-1-PMB-PR-LE-2</v>
      </c>
    </row>
    <row r="133" spans="1:13" x14ac:dyDescent="0.2">
      <c r="A133" t="str">
        <f t="shared" si="3"/>
        <v>2023-1-PMB-PR-FL-2-16S</v>
      </c>
      <c r="B133" t="s">
        <v>616</v>
      </c>
      <c r="C133" s="88">
        <v>44698</v>
      </c>
      <c r="D133" s="88" t="s">
        <v>962</v>
      </c>
      <c r="E133" t="s">
        <v>8</v>
      </c>
      <c r="F133" t="s">
        <v>9</v>
      </c>
      <c r="G133" t="s">
        <v>545</v>
      </c>
      <c r="H133" t="s">
        <v>960</v>
      </c>
      <c r="I133" t="s">
        <v>74</v>
      </c>
      <c r="J133" t="s">
        <v>151</v>
      </c>
      <c r="K133">
        <v>2</v>
      </c>
      <c r="L133">
        <v>2022</v>
      </c>
      <c r="M133" t="str">
        <f t="shared" si="2"/>
        <v>2022-1-PMB-PR-FL-2</v>
      </c>
    </row>
    <row r="134" spans="1:13" x14ac:dyDescent="0.2">
      <c r="A134" t="str">
        <f t="shared" si="3"/>
        <v>2023-1-PMB-PR-LE-3-16S</v>
      </c>
      <c r="B134" t="s">
        <v>619</v>
      </c>
      <c r="C134" s="88">
        <v>44698</v>
      </c>
      <c r="D134" s="88" t="s">
        <v>962</v>
      </c>
      <c r="E134" t="s">
        <v>8</v>
      </c>
      <c r="F134" t="s">
        <v>9</v>
      </c>
      <c r="G134" t="s">
        <v>545</v>
      </c>
      <c r="H134" t="s">
        <v>960</v>
      </c>
      <c r="I134" t="s">
        <v>74</v>
      </c>
      <c r="J134" t="s">
        <v>152</v>
      </c>
      <c r="K134">
        <v>3</v>
      </c>
      <c r="L134">
        <v>2022</v>
      </c>
      <c r="M134" t="str">
        <f t="shared" si="2"/>
        <v>2022-1-PMB-PR-LE-3</v>
      </c>
    </row>
    <row r="135" spans="1:13" x14ac:dyDescent="0.2">
      <c r="A135" t="str">
        <f t="shared" si="3"/>
        <v>2023-1-PMB-PR-FL-3-16S</v>
      </c>
      <c r="B135" t="s">
        <v>618</v>
      </c>
      <c r="C135" s="88">
        <v>44698</v>
      </c>
      <c r="D135" s="88" t="s">
        <v>962</v>
      </c>
      <c r="E135" t="s">
        <v>8</v>
      </c>
      <c r="F135" t="s">
        <v>9</v>
      </c>
      <c r="G135" t="s">
        <v>545</v>
      </c>
      <c r="H135" t="s">
        <v>960</v>
      </c>
      <c r="I135" t="s">
        <v>74</v>
      </c>
      <c r="J135" t="s">
        <v>151</v>
      </c>
      <c r="K135">
        <v>3</v>
      </c>
      <c r="L135">
        <v>2022</v>
      </c>
      <c r="M135" t="str">
        <f t="shared" si="2"/>
        <v>2022-1-PMB-PR-FL-3</v>
      </c>
    </row>
    <row r="136" spans="1:13" x14ac:dyDescent="0.2">
      <c r="A136" t="str">
        <f t="shared" si="3"/>
        <v>2023-1-PMB-PR-LE-4-16S</v>
      </c>
      <c r="B136" t="s">
        <v>1347</v>
      </c>
      <c r="C136" s="88">
        <v>44698</v>
      </c>
      <c r="D136" s="88" t="s">
        <v>962</v>
      </c>
      <c r="E136" t="s">
        <v>8</v>
      </c>
      <c r="F136" t="s">
        <v>9</v>
      </c>
      <c r="G136" t="s">
        <v>545</v>
      </c>
      <c r="H136" t="s">
        <v>960</v>
      </c>
      <c r="I136" t="s">
        <v>74</v>
      </c>
      <c r="J136" t="s">
        <v>152</v>
      </c>
      <c r="K136">
        <v>4</v>
      </c>
      <c r="L136">
        <v>2022</v>
      </c>
      <c r="M136" t="str">
        <f t="shared" si="2"/>
        <v>2022-1-PMB-PR-LE-4</v>
      </c>
    </row>
    <row r="137" spans="1:13" x14ac:dyDescent="0.2">
      <c r="A137" t="str">
        <f t="shared" si="3"/>
        <v>2023-1-PMB-PR-FL-4-16S</v>
      </c>
      <c r="B137" t="s">
        <v>1348</v>
      </c>
      <c r="C137" s="88">
        <v>44698</v>
      </c>
      <c r="D137" s="88" t="s">
        <v>962</v>
      </c>
      <c r="E137" t="s">
        <v>8</v>
      </c>
      <c r="F137" t="s">
        <v>9</v>
      </c>
      <c r="G137" t="s">
        <v>545</v>
      </c>
      <c r="H137" t="s">
        <v>960</v>
      </c>
      <c r="I137" t="s">
        <v>74</v>
      </c>
      <c r="J137" t="s">
        <v>151</v>
      </c>
      <c r="K137">
        <v>4</v>
      </c>
      <c r="L137">
        <v>2022</v>
      </c>
      <c r="M137" t="str">
        <f t="shared" si="2"/>
        <v>2022-1-PMB-PR-FL-4</v>
      </c>
    </row>
    <row r="138" spans="1:13" x14ac:dyDescent="0.2">
      <c r="A138" t="str">
        <f t="shared" si="3"/>
        <v>2023-1-PMB-PR-LE-5-16S</v>
      </c>
      <c r="B138" t="s">
        <v>1349</v>
      </c>
      <c r="C138" s="88">
        <v>44698</v>
      </c>
      <c r="D138" s="88" t="s">
        <v>962</v>
      </c>
      <c r="E138" t="s">
        <v>8</v>
      </c>
      <c r="F138" t="s">
        <v>9</v>
      </c>
      <c r="G138" t="s">
        <v>545</v>
      </c>
      <c r="H138" t="s">
        <v>960</v>
      </c>
      <c r="I138" t="s">
        <v>74</v>
      </c>
      <c r="J138" t="s">
        <v>152</v>
      </c>
      <c r="K138">
        <v>5</v>
      </c>
      <c r="L138">
        <v>2022</v>
      </c>
      <c r="M138" t="str">
        <f t="shared" si="2"/>
        <v>2022-1-PMB-PR-LE-5</v>
      </c>
    </row>
    <row r="139" spans="1:13" x14ac:dyDescent="0.2">
      <c r="A139" t="str">
        <f t="shared" si="3"/>
        <v>2023-1-PMB-PR-FL-5-16S</v>
      </c>
      <c r="B139" t="s">
        <v>1350</v>
      </c>
      <c r="C139" s="88">
        <v>44698</v>
      </c>
      <c r="D139" s="88" t="s">
        <v>962</v>
      </c>
      <c r="E139" t="s">
        <v>8</v>
      </c>
      <c r="F139" t="s">
        <v>9</v>
      </c>
      <c r="G139" t="s">
        <v>545</v>
      </c>
      <c r="H139" t="s">
        <v>960</v>
      </c>
      <c r="I139" t="s">
        <v>74</v>
      </c>
      <c r="J139" t="s">
        <v>151</v>
      </c>
      <c r="K139">
        <v>5</v>
      </c>
      <c r="L139">
        <v>2022</v>
      </c>
      <c r="M139" t="str">
        <f t="shared" si="2"/>
        <v>2022-1-PMB-PR-FL-5</v>
      </c>
    </row>
    <row r="140" spans="1:13" x14ac:dyDescent="0.2">
      <c r="A140" t="str">
        <f t="shared" si="3"/>
        <v>2023-1-ASB-LI-LE-1-16S</v>
      </c>
      <c r="B140" t="s">
        <v>585</v>
      </c>
      <c r="C140" s="88">
        <v>44698</v>
      </c>
      <c r="D140" s="88" t="s">
        <v>962</v>
      </c>
      <c r="E140" t="s">
        <v>551</v>
      </c>
      <c r="F140" t="s">
        <v>16</v>
      </c>
      <c r="G140" t="s">
        <v>548</v>
      </c>
      <c r="H140" t="s">
        <v>960</v>
      </c>
      <c r="I140" t="s">
        <v>36</v>
      </c>
      <c r="J140" t="s">
        <v>152</v>
      </c>
      <c r="K140">
        <v>1</v>
      </c>
      <c r="L140">
        <v>2022</v>
      </c>
      <c r="M140" t="str">
        <f t="shared" si="2"/>
        <v>2022-1-ASB-LI-LE-1</v>
      </c>
    </row>
    <row r="141" spans="1:13" x14ac:dyDescent="0.2">
      <c r="A141" t="str">
        <f t="shared" si="3"/>
        <v>2023-1-ASB-LI-FL-1-16S</v>
      </c>
      <c r="B141" t="s">
        <v>584</v>
      </c>
      <c r="C141" s="88">
        <v>44698</v>
      </c>
      <c r="D141" s="88" t="s">
        <v>962</v>
      </c>
      <c r="E141" t="s">
        <v>551</v>
      </c>
      <c r="F141" t="s">
        <v>16</v>
      </c>
      <c r="G141" t="s">
        <v>548</v>
      </c>
      <c r="H141" t="s">
        <v>960</v>
      </c>
      <c r="I141" t="s">
        <v>36</v>
      </c>
      <c r="J141" t="s">
        <v>151</v>
      </c>
      <c r="K141">
        <v>1</v>
      </c>
      <c r="L141">
        <v>2022</v>
      </c>
      <c r="M141" t="str">
        <f t="shared" si="2"/>
        <v>2022-1-ASB-LI-FL-1</v>
      </c>
    </row>
    <row r="142" spans="1:13" x14ac:dyDescent="0.2">
      <c r="A142" t="str">
        <f t="shared" si="3"/>
        <v>2023-1-ASB-LI-LE-2-16S</v>
      </c>
      <c r="B142" t="s">
        <v>597</v>
      </c>
      <c r="C142" s="88">
        <v>44698</v>
      </c>
      <c r="D142" s="88" t="s">
        <v>962</v>
      </c>
      <c r="E142" t="s">
        <v>551</v>
      </c>
      <c r="F142" t="s">
        <v>16</v>
      </c>
      <c r="G142" t="s">
        <v>548</v>
      </c>
      <c r="H142" t="s">
        <v>960</v>
      </c>
      <c r="I142" t="s">
        <v>36</v>
      </c>
      <c r="J142" t="s">
        <v>152</v>
      </c>
      <c r="K142">
        <v>2</v>
      </c>
      <c r="L142">
        <v>2022</v>
      </c>
      <c r="M142" t="str">
        <f t="shared" si="2"/>
        <v>2022-1-ASB-LI-LE-2</v>
      </c>
    </row>
    <row r="143" spans="1:13" x14ac:dyDescent="0.2">
      <c r="A143" t="str">
        <f t="shared" si="3"/>
        <v>2023-1-ASB-LI-FL-2-16S</v>
      </c>
      <c r="B143" t="s">
        <v>596</v>
      </c>
      <c r="C143" s="88">
        <v>44698</v>
      </c>
      <c r="D143" s="88" t="s">
        <v>962</v>
      </c>
      <c r="E143" t="s">
        <v>551</v>
      </c>
      <c r="F143" t="s">
        <v>16</v>
      </c>
      <c r="G143" t="s">
        <v>548</v>
      </c>
      <c r="H143" t="s">
        <v>960</v>
      </c>
      <c r="I143" t="s">
        <v>36</v>
      </c>
      <c r="J143" t="s">
        <v>151</v>
      </c>
      <c r="K143">
        <v>2</v>
      </c>
      <c r="L143">
        <v>2022</v>
      </c>
      <c r="M143" t="str">
        <f t="shared" si="2"/>
        <v>2022-1-ASB-LI-FL-2</v>
      </c>
    </row>
    <row r="144" spans="1:13" x14ac:dyDescent="0.2">
      <c r="A144" t="str">
        <f t="shared" si="3"/>
        <v>2023-1-ASB-LI-LE-3-16S</v>
      </c>
      <c r="B144" t="s">
        <v>599</v>
      </c>
      <c r="C144" s="88">
        <v>44698</v>
      </c>
      <c r="D144" s="88" t="s">
        <v>962</v>
      </c>
      <c r="E144" t="s">
        <v>551</v>
      </c>
      <c r="F144" t="s">
        <v>16</v>
      </c>
      <c r="G144" t="s">
        <v>548</v>
      </c>
      <c r="H144" t="s">
        <v>960</v>
      </c>
      <c r="I144" t="s">
        <v>36</v>
      </c>
      <c r="J144" t="s">
        <v>152</v>
      </c>
      <c r="K144">
        <v>3</v>
      </c>
      <c r="L144">
        <v>2022</v>
      </c>
      <c r="M144" t="str">
        <f t="shared" si="2"/>
        <v>2022-1-ASB-LI-LE-3</v>
      </c>
    </row>
    <row r="145" spans="1:13" x14ac:dyDescent="0.2">
      <c r="A145" t="str">
        <f t="shared" si="3"/>
        <v>2023-1-ASB-LI-FL-3-16S</v>
      </c>
      <c r="B145" t="s">
        <v>598</v>
      </c>
      <c r="C145" s="88">
        <v>44698</v>
      </c>
      <c r="D145" s="88" t="s">
        <v>962</v>
      </c>
      <c r="E145" t="s">
        <v>551</v>
      </c>
      <c r="F145" t="s">
        <v>16</v>
      </c>
      <c r="G145" t="s">
        <v>548</v>
      </c>
      <c r="H145" t="s">
        <v>960</v>
      </c>
      <c r="I145" t="s">
        <v>36</v>
      </c>
      <c r="J145" t="s">
        <v>151</v>
      </c>
      <c r="K145">
        <v>3</v>
      </c>
      <c r="L145">
        <v>2022</v>
      </c>
      <c r="M145" t="str">
        <f t="shared" si="2"/>
        <v>2022-1-ASB-LI-FL-3</v>
      </c>
    </row>
    <row r="146" spans="1:13" x14ac:dyDescent="0.2">
      <c r="A146" t="str">
        <f t="shared" si="3"/>
        <v>2023-1-ASB-LI-LE-4-16S</v>
      </c>
      <c r="B146" t="s">
        <v>1351</v>
      </c>
      <c r="C146" s="88">
        <v>44698</v>
      </c>
      <c r="D146" s="88" t="s">
        <v>962</v>
      </c>
      <c r="E146" t="s">
        <v>551</v>
      </c>
      <c r="F146" t="s">
        <v>16</v>
      </c>
      <c r="G146" t="s">
        <v>548</v>
      </c>
      <c r="H146" t="s">
        <v>960</v>
      </c>
      <c r="I146" t="s">
        <v>36</v>
      </c>
      <c r="J146" t="s">
        <v>152</v>
      </c>
      <c r="K146">
        <v>4</v>
      </c>
      <c r="L146">
        <v>2022</v>
      </c>
      <c r="M146" t="str">
        <f t="shared" si="2"/>
        <v>2022-1-ASB-LI-LE-4</v>
      </c>
    </row>
    <row r="147" spans="1:13" x14ac:dyDescent="0.2">
      <c r="A147" t="str">
        <f t="shared" si="3"/>
        <v>2023-1-ASB-LI-FL-4-16S</v>
      </c>
      <c r="B147" t="s">
        <v>1352</v>
      </c>
      <c r="C147" s="88">
        <v>44698</v>
      </c>
      <c r="D147" s="88" t="s">
        <v>962</v>
      </c>
      <c r="E147" t="s">
        <v>551</v>
      </c>
      <c r="F147" t="s">
        <v>16</v>
      </c>
      <c r="G147" t="s">
        <v>548</v>
      </c>
      <c r="H147" t="s">
        <v>960</v>
      </c>
      <c r="I147" t="s">
        <v>36</v>
      </c>
      <c r="J147" t="s">
        <v>151</v>
      </c>
      <c r="K147">
        <v>4</v>
      </c>
      <c r="L147">
        <v>2022</v>
      </c>
      <c r="M147" t="str">
        <f t="shared" si="2"/>
        <v>2022-1-ASB-LI-FL-4</v>
      </c>
    </row>
    <row r="148" spans="1:13" x14ac:dyDescent="0.2">
      <c r="A148" t="str">
        <f t="shared" si="3"/>
        <v>2023-1-ASB-LI-LE-5-16S</v>
      </c>
      <c r="B148" t="s">
        <v>1353</v>
      </c>
      <c r="C148" s="88">
        <v>44698</v>
      </c>
      <c r="D148" s="88" t="s">
        <v>962</v>
      </c>
      <c r="E148" t="s">
        <v>551</v>
      </c>
      <c r="F148" t="s">
        <v>16</v>
      </c>
      <c r="G148" t="s">
        <v>548</v>
      </c>
      <c r="H148" t="s">
        <v>960</v>
      </c>
      <c r="I148" t="s">
        <v>36</v>
      </c>
      <c r="J148" t="s">
        <v>152</v>
      </c>
      <c r="K148">
        <v>5</v>
      </c>
      <c r="L148">
        <v>2022</v>
      </c>
      <c r="M148" t="str">
        <f t="shared" si="2"/>
        <v>2022-1-ASB-LI-LE-5</v>
      </c>
    </row>
    <row r="149" spans="1:13" x14ac:dyDescent="0.2">
      <c r="A149" t="str">
        <f t="shared" si="3"/>
        <v>2023-1-ASB-LI-FL-5-16S</v>
      </c>
      <c r="B149" t="s">
        <v>1354</v>
      </c>
      <c r="C149" s="88">
        <v>44698</v>
      </c>
      <c r="D149" s="88" t="s">
        <v>962</v>
      </c>
      <c r="E149" t="s">
        <v>551</v>
      </c>
      <c r="F149" t="s">
        <v>16</v>
      </c>
      <c r="G149" t="s">
        <v>548</v>
      </c>
      <c r="H149" t="s">
        <v>960</v>
      </c>
      <c r="I149" t="s">
        <v>36</v>
      </c>
      <c r="J149" t="s">
        <v>151</v>
      </c>
      <c r="K149">
        <v>5</v>
      </c>
      <c r="L149">
        <v>2022</v>
      </c>
      <c r="M149" t="str">
        <f t="shared" si="2"/>
        <v>2022-1-ASB-LI-FL-5</v>
      </c>
    </row>
    <row r="150" spans="1:13" x14ac:dyDescent="0.2">
      <c r="A150" t="str">
        <f t="shared" si="3"/>
        <v>2023-1-ASB-CL-LE-1-16S</v>
      </c>
      <c r="B150" t="s">
        <v>557</v>
      </c>
      <c r="C150" s="88">
        <v>44698</v>
      </c>
      <c r="D150" s="88" t="s">
        <v>962</v>
      </c>
      <c r="E150" t="s">
        <v>551</v>
      </c>
      <c r="F150" t="s">
        <v>16</v>
      </c>
      <c r="G150" t="s">
        <v>548</v>
      </c>
      <c r="H150" t="s">
        <v>960</v>
      </c>
      <c r="I150" t="s">
        <v>43</v>
      </c>
      <c r="J150" t="s">
        <v>152</v>
      </c>
      <c r="K150">
        <v>1</v>
      </c>
      <c r="L150">
        <v>2022</v>
      </c>
      <c r="M150" t="str">
        <f t="shared" si="2"/>
        <v>2022-1-ASB-CL-LE-1</v>
      </c>
    </row>
    <row r="151" spans="1:13" x14ac:dyDescent="0.2">
      <c r="A151" t="str">
        <f t="shared" si="3"/>
        <v>2023-1-ASB-CL-FL-1-16S</v>
      </c>
      <c r="B151" t="s">
        <v>556</v>
      </c>
      <c r="C151" s="88">
        <v>44698</v>
      </c>
      <c r="D151" s="88" t="s">
        <v>962</v>
      </c>
      <c r="E151" t="s">
        <v>551</v>
      </c>
      <c r="F151" t="s">
        <v>16</v>
      </c>
      <c r="G151" t="s">
        <v>548</v>
      </c>
      <c r="H151" t="s">
        <v>960</v>
      </c>
      <c r="I151" t="s">
        <v>43</v>
      </c>
      <c r="J151" t="s">
        <v>151</v>
      </c>
      <c r="K151">
        <v>1</v>
      </c>
      <c r="L151">
        <v>2022</v>
      </c>
      <c r="M151" t="str">
        <f t="shared" si="2"/>
        <v>2022-1-ASB-CL-FL-1</v>
      </c>
    </row>
    <row r="152" spans="1:13" x14ac:dyDescent="0.2">
      <c r="A152" t="str">
        <f t="shared" si="3"/>
        <v>2023-1-ASB-CL-LE-2-16S</v>
      </c>
      <c r="B152" t="s">
        <v>561</v>
      </c>
      <c r="C152" s="88">
        <v>44698</v>
      </c>
      <c r="D152" s="88" t="s">
        <v>962</v>
      </c>
      <c r="E152" t="s">
        <v>551</v>
      </c>
      <c r="F152" t="s">
        <v>16</v>
      </c>
      <c r="G152" t="s">
        <v>548</v>
      </c>
      <c r="H152" t="s">
        <v>960</v>
      </c>
      <c r="I152" t="s">
        <v>43</v>
      </c>
      <c r="J152" t="s">
        <v>152</v>
      </c>
      <c r="K152">
        <v>2</v>
      </c>
      <c r="L152">
        <v>2022</v>
      </c>
      <c r="M152" t="str">
        <f t="shared" si="2"/>
        <v>2022-1-ASB-CL-LE-2</v>
      </c>
    </row>
    <row r="153" spans="1:13" x14ac:dyDescent="0.2">
      <c r="A153" t="str">
        <f t="shared" si="3"/>
        <v>2023-1-ASB-CL-FL-2-16S</v>
      </c>
      <c r="B153" t="s">
        <v>560</v>
      </c>
      <c r="C153" s="88">
        <v>44698</v>
      </c>
      <c r="D153" s="88" t="s">
        <v>962</v>
      </c>
      <c r="E153" t="s">
        <v>551</v>
      </c>
      <c r="F153" t="s">
        <v>16</v>
      </c>
      <c r="G153" t="s">
        <v>548</v>
      </c>
      <c r="H153" t="s">
        <v>960</v>
      </c>
      <c r="I153" t="s">
        <v>43</v>
      </c>
      <c r="J153" t="s">
        <v>151</v>
      </c>
      <c r="K153">
        <v>2</v>
      </c>
      <c r="L153">
        <v>2022</v>
      </c>
      <c r="M153" t="str">
        <f t="shared" si="2"/>
        <v>2022-1-ASB-CL-FL-2</v>
      </c>
    </row>
    <row r="154" spans="1:13" x14ac:dyDescent="0.2">
      <c r="A154" t="str">
        <f t="shared" si="3"/>
        <v>2023-1-ASB-CL-LE-3-16S</v>
      </c>
      <c r="B154" t="s">
        <v>563</v>
      </c>
      <c r="C154" s="88">
        <v>44698</v>
      </c>
      <c r="D154" s="88" t="s">
        <v>962</v>
      </c>
      <c r="E154" t="s">
        <v>551</v>
      </c>
      <c r="F154" t="s">
        <v>16</v>
      </c>
      <c r="G154" t="s">
        <v>548</v>
      </c>
      <c r="H154" t="s">
        <v>960</v>
      </c>
      <c r="I154" t="s">
        <v>43</v>
      </c>
      <c r="J154" t="s">
        <v>152</v>
      </c>
      <c r="K154">
        <v>3</v>
      </c>
      <c r="L154">
        <v>2022</v>
      </c>
      <c r="M154" t="str">
        <f t="shared" si="2"/>
        <v>2022-1-ASB-CL-LE-3</v>
      </c>
    </row>
    <row r="155" spans="1:13" x14ac:dyDescent="0.2">
      <c r="A155" t="str">
        <f t="shared" si="3"/>
        <v>2023-1-ASB-CL-FL-3-16S</v>
      </c>
      <c r="B155" t="s">
        <v>562</v>
      </c>
      <c r="C155" s="88">
        <v>44698</v>
      </c>
      <c r="D155" s="88" t="s">
        <v>962</v>
      </c>
      <c r="E155" t="s">
        <v>551</v>
      </c>
      <c r="F155" t="s">
        <v>16</v>
      </c>
      <c r="G155" t="s">
        <v>548</v>
      </c>
      <c r="H155" t="s">
        <v>960</v>
      </c>
      <c r="I155" t="s">
        <v>43</v>
      </c>
      <c r="J155" t="s">
        <v>151</v>
      </c>
      <c r="K155">
        <v>3</v>
      </c>
      <c r="L155">
        <v>2022</v>
      </c>
      <c r="M155" t="str">
        <f t="shared" si="2"/>
        <v>2022-1-ASB-CL-FL-3</v>
      </c>
    </row>
    <row r="156" spans="1:13" x14ac:dyDescent="0.2">
      <c r="A156" t="str">
        <f t="shared" si="3"/>
        <v>2023-1-ASB-CL-LE-4-16S</v>
      </c>
      <c r="B156" t="s">
        <v>1355</v>
      </c>
      <c r="C156" s="88">
        <v>44698</v>
      </c>
      <c r="D156" s="88" t="s">
        <v>962</v>
      </c>
      <c r="E156" t="s">
        <v>551</v>
      </c>
      <c r="F156" t="s">
        <v>16</v>
      </c>
      <c r="G156" t="s">
        <v>548</v>
      </c>
      <c r="H156" t="s">
        <v>960</v>
      </c>
      <c r="I156" t="s">
        <v>43</v>
      </c>
      <c r="J156" t="s">
        <v>152</v>
      </c>
      <c r="K156">
        <v>4</v>
      </c>
      <c r="L156">
        <v>2022</v>
      </c>
      <c r="M156" t="str">
        <f t="shared" si="2"/>
        <v>2022-1-ASB-CL-LE-4</v>
      </c>
    </row>
    <row r="157" spans="1:13" x14ac:dyDescent="0.2">
      <c r="A157" t="str">
        <f t="shared" si="3"/>
        <v>2023-1-ASB-CL-FL-4-16S</v>
      </c>
      <c r="B157" t="s">
        <v>1356</v>
      </c>
      <c r="C157" s="88">
        <v>44698</v>
      </c>
      <c r="D157" s="88" t="s">
        <v>962</v>
      </c>
      <c r="E157" t="s">
        <v>551</v>
      </c>
      <c r="F157" t="s">
        <v>16</v>
      </c>
      <c r="G157" t="s">
        <v>548</v>
      </c>
      <c r="H157" t="s">
        <v>960</v>
      </c>
      <c r="I157" t="s">
        <v>43</v>
      </c>
      <c r="J157" t="s">
        <v>151</v>
      </c>
      <c r="K157">
        <v>4</v>
      </c>
      <c r="L157">
        <v>2022</v>
      </c>
      <c r="M157" t="str">
        <f t="shared" si="2"/>
        <v>2022-1-ASB-CL-FL-4</v>
      </c>
    </row>
    <row r="158" spans="1:13" x14ac:dyDescent="0.2">
      <c r="A158" t="str">
        <f t="shared" si="3"/>
        <v>2023-1-ASB-CL-LE-5-16S</v>
      </c>
      <c r="B158" t="s">
        <v>1357</v>
      </c>
      <c r="C158" s="88">
        <v>44698</v>
      </c>
      <c r="D158" s="88" t="s">
        <v>962</v>
      </c>
      <c r="E158" t="s">
        <v>551</v>
      </c>
      <c r="F158" t="s">
        <v>16</v>
      </c>
      <c r="G158" t="s">
        <v>548</v>
      </c>
      <c r="H158" t="s">
        <v>960</v>
      </c>
      <c r="I158" t="s">
        <v>43</v>
      </c>
      <c r="J158" t="s">
        <v>152</v>
      </c>
      <c r="K158">
        <v>5</v>
      </c>
      <c r="L158">
        <v>2022</v>
      </c>
      <c r="M158" t="str">
        <f t="shared" si="2"/>
        <v>2022-1-ASB-CL-LE-5</v>
      </c>
    </row>
    <row r="159" spans="1:13" x14ac:dyDescent="0.2">
      <c r="A159" t="str">
        <f t="shared" si="3"/>
        <v>2023-1-ASB-CL-FL-5-16S</v>
      </c>
      <c r="B159" t="s">
        <v>1358</v>
      </c>
      <c r="C159" s="88">
        <v>44698</v>
      </c>
      <c r="D159" s="88" t="s">
        <v>962</v>
      </c>
      <c r="E159" t="s">
        <v>551</v>
      </c>
      <c r="F159" t="s">
        <v>16</v>
      </c>
      <c r="G159" t="s">
        <v>548</v>
      </c>
      <c r="H159" t="s">
        <v>960</v>
      </c>
      <c r="I159" t="s">
        <v>43</v>
      </c>
      <c r="J159" t="s">
        <v>151</v>
      </c>
      <c r="K159">
        <v>5</v>
      </c>
      <c r="L159">
        <v>2022</v>
      </c>
      <c r="M159" t="str">
        <f t="shared" si="2"/>
        <v>2022-1-ASB-CL-FL-5</v>
      </c>
    </row>
    <row r="160" spans="1:13" x14ac:dyDescent="0.2">
      <c r="A160" t="str">
        <f t="shared" si="3"/>
        <v>2023-1-ASB-PR-LE-1-16S</v>
      </c>
      <c r="B160" t="s">
        <v>565</v>
      </c>
      <c r="C160" s="88">
        <v>44698</v>
      </c>
      <c r="D160" s="88" t="s">
        <v>962</v>
      </c>
      <c r="E160" t="s">
        <v>551</v>
      </c>
      <c r="F160" t="s">
        <v>16</v>
      </c>
      <c r="G160" t="s">
        <v>548</v>
      </c>
      <c r="H160" t="s">
        <v>960</v>
      </c>
      <c r="I160" t="s">
        <v>74</v>
      </c>
      <c r="J160" t="s">
        <v>152</v>
      </c>
      <c r="K160">
        <v>1</v>
      </c>
      <c r="L160">
        <v>2022</v>
      </c>
      <c r="M160" t="str">
        <f t="shared" si="2"/>
        <v>2022-1-ASB-PR-LE-1</v>
      </c>
    </row>
    <row r="161" spans="1:13" x14ac:dyDescent="0.2">
      <c r="A161" t="str">
        <f t="shared" si="3"/>
        <v>2023-1-ASB-PR-FL-1-16S</v>
      </c>
      <c r="B161" t="s">
        <v>564</v>
      </c>
      <c r="C161" s="88">
        <v>44698</v>
      </c>
      <c r="D161" s="88" t="s">
        <v>962</v>
      </c>
      <c r="E161" t="s">
        <v>551</v>
      </c>
      <c r="F161" t="s">
        <v>16</v>
      </c>
      <c r="G161" t="s">
        <v>548</v>
      </c>
      <c r="H161" t="s">
        <v>960</v>
      </c>
      <c r="I161" t="s">
        <v>74</v>
      </c>
      <c r="J161" t="s">
        <v>151</v>
      </c>
      <c r="K161">
        <v>1</v>
      </c>
      <c r="L161">
        <v>2022</v>
      </c>
      <c r="M161" t="str">
        <f t="shared" si="2"/>
        <v>2022-1-ASB-PR-FL-1</v>
      </c>
    </row>
    <row r="162" spans="1:13" x14ac:dyDescent="0.2">
      <c r="A162" t="str">
        <f t="shared" si="3"/>
        <v>2023-1-ASB-PR-LE-2-16S</v>
      </c>
      <c r="B162" t="s">
        <v>573</v>
      </c>
      <c r="C162" s="88">
        <v>44698</v>
      </c>
      <c r="D162" s="88" t="s">
        <v>962</v>
      </c>
      <c r="E162" t="s">
        <v>551</v>
      </c>
      <c r="F162" t="s">
        <v>16</v>
      </c>
      <c r="G162" t="s">
        <v>548</v>
      </c>
      <c r="H162" t="s">
        <v>960</v>
      </c>
      <c r="I162" t="s">
        <v>74</v>
      </c>
      <c r="J162" t="s">
        <v>152</v>
      </c>
      <c r="K162">
        <v>2</v>
      </c>
      <c r="L162">
        <v>2022</v>
      </c>
      <c r="M162" t="str">
        <f t="shared" si="2"/>
        <v>2022-1-ASB-PR-LE-2</v>
      </c>
    </row>
    <row r="163" spans="1:13" x14ac:dyDescent="0.2">
      <c r="A163" t="str">
        <f t="shared" si="3"/>
        <v>2023-1-ASB-PR-FL-2-16S</v>
      </c>
      <c r="B163" t="s">
        <v>572</v>
      </c>
      <c r="C163" s="88">
        <v>44698</v>
      </c>
      <c r="D163" s="88" t="s">
        <v>962</v>
      </c>
      <c r="E163" t="s">
        <v>551</v>
      </c>
      <c r="F163" t="s">
        <v>16</v>
      </c>
      <c r="G163" t="s">
        <v>548</v>
      </c>
      <c r="H163" t="s">
        <v>960</v>
      </c>
      <c r="I163" t="s">
        <v>74</v>
      </c>
      <c r="J163" t="s">
        <v>151</v>
      </c>
      <c r="K163">
        <v>2</v>
      </c>
      <c r="L163">
        <v>2022</v>
      </c>
      <c r="M163" t="str">
        <f t="shared" si="2"/>
        <v>2022-1-ASB-PR-FL-2</v>
      </c>
    </row>
    <row r="164" spans="1:13" x14ac:dyDescent="0.2">
      <c r="A164" t="str">
        <f t="shared" si="3"/>
        <v>2023-1-ASB-PR-LE-3-16S</v>
      </c>
      <c r="B164" t="s">
        <v>575</v>
      </c>
      <c r="C164" s="88">
        <v>44698</v>
      </c>
      <c r="D164" s="88" t="s">
        <v>962</v>
      </c>
      <c r="E164" t="s">
        <v>551</v>
      </c>
      <c r="F164" t="s">
        <v>16</v>
      </c>
      <c r="G164" t="s">
        <v>548</v>
      </c>
      <c r="H164" t="s">
        <v>960</v>
      </c>
      <c r="I164" t="s">
        <v>74</v>
      </c>
      <c r="J164" t="s">
        <v>152</v>
      </c>
      <c r="K164">
        <v>3</v>
      </c>
      <c r="L164">
        <v>2022</v>
      </c>
      <c r="M164" t="str">
        <f t="shared" si="2"/>
        <v>2022-1-ASB-PR-LE-3</v>
      </c>
    </row>
    <row r="165" spans="1:13" x14ac:dyDescent="0.2">
      <c r="A165" t="str">
        <f t="shared" si="3"/>
        <v>2023-1-ASB-PR-FL-3-16S</v>
      </c>
      <c r="B165" t="s">
        <v>574</v>
      </c>
      <c r="C165" s="88">
        <v>44698</v>
      </c>
      <c r="D165" s="88" t="s">
        <v>962</v>
      </c>
      <c r="E165" t="s">
        <v>551</v>
      </c>
      <c r="F165" t="s">
        <v>16</v>
      </c>
      <c r="G165" t="s">
        <v>548</v>
      </c>
      <c r="H165" t="s">
        <v>960</v>
      </c>
      <c r="I165" t="s">
        <v>74</v>
      </c>
      <c r="J165" t="s">
        <v>151</v>
      </c>
      <c r="K165">
        <v>3</v>
      </c>
      <c r="L165">
        <v>2022</v>
      </c>
      <c r="M165" t="str">
        <f t="shared" si="2"/>
        <v>2022-1-ASB-PR-FL-3</v>
      </c>
    </row>
    <row r="166" spans="1:13" x14ac:dyDescent="0.2">
      <c r="A166" t="str">
        <f t="shared" si="3"/>
        <v>2023-1-ASB-PR-LE-4-16S</v>
      </c>
      <c r="B166" t="s">
        <v>1359</v>
      </c>
      <c r="C166" s="88">
        <v>44698</v>
      </c>
      <c r="D166" s="88" t="s">
        <v>962</v>
      </c>
      <c r="E166" t="s">
        <v>551</v>
      </c>
      <c r="F166" t="s">
        <v>16</v>
      </c>
      <c r="G166" t="s">
        <v>548</v>
      </c>
      <c r="H166" t="s">
        <v>960</v>
      </c>
      <c r="I166" t="s">
        <v>74</v>
      </c>
      <c r="J166" t="s">
        <v>152</v>
      </c>
      <c r="K166">
        <v>4</v>
      </c>
      <c r="L166">
        <v>2022</v>
      </c>
      <c r="M166" t="str">
        <f t="shared" si="2"/>
        <v>2022-1-ASB-PR-LE-4</v>
      </c>
    </row>
    <row r="167" spans="1:13" x14ac:dyDescent="0.2">
      <c r="A167" t="str">
        <f t="shared" si="3"/>
        <v>2023-1-ASB-PR-FL-4-16S</v>
      </c>
      <c r="B167" t="s">
        <v>1360</v>
      </c>
      <c r="C167" s="88">
        <v>44698</v>
      </c>
      <c r="D167" s="88" t="s">
        <v>962</v>
      </c>
      <c r="E167" t="s">
        <v>551</v>
      </c>
      <c r="F167" t="s">
        <v>16</v>
      </c>
      <c r="G167" t="s">
        <v>548</v>
      </c>
      <c r="H167" t="s">
        <v>960</v>
      </c>
      <c r="I167" t="s">
        <v>74</v>
      </c>
      <c r="J167" t="s">
        <v>151</v>
      </c>
      <c r="K167">
        <v>4</v>
      </c>
      <c r="L167">
        <v>2022</v>
      </c>
      <c r="M167" t="str">
        <f t="shared" si="2"/>
        <v>2022-1-ASB-PR-FL-4</v>
      </c>
    </row>
    <row r="168" spans="1:13" x14ac:dyDescent="0.2">
      <c r="A168" t="str">
        <f t="shared" si="3"/>
        <v>2023-1-ASB-PR-LE-5-16S</v>
      </c>
      <c r="B168" t="s">
        <v>1361</v>
      </c>
      <c r="C168" s="88">
        <v>44698</v>
      </c>
      <c r="D168" s="88" t="s">
        <v>962</v>
      </c>
      <c r="E168" t="s">
        <v>551</v>
      </c>
      <c r="F168" t="s">
        <v>16</v>
      </c>
      <c r="G168" t="s">
        <v>548</v>
      </c>
      <c r="H168" t="s">
        <v>960</v>
      </c>
      <c r="I168" t="s">
        <v>74</v>
      </c>
      <c r="J168" t="s">
        <v>152</v>
      </c>
      <c r="K168">
        <v>5</v>
      </c>
      <c r="L168">
        <v>2022</v>
      </c>
      <c r="M168" t="str">
        <f t="shared" si="2"/>
        <v>2022-1-ASB-PR-LE-5</v>
      </c>
    </row>
    <row r="169" spans="1:13" x14ac:dyDescent="0.2">
      <c r="A169" t="str">
        <f t="shared" si="3"/>
        <v>2023-1-ASB-PR-FL-5-16S</v>
      </c>
      <c r="B169" t="s">
        <v>1362</v>
      </c>
      <c r="C169" s="88">
        <v>44698</v>
      </c>
      <c r="D169" s="88" t="s">
        <v>962</v>
      </c>
      <c r="E169" t="s">
        <v>551</v>
      </c>
      <c r="F169" t="s">
        <v>16</v>
      </c>
      <c r="G169" t="s">
        <v>548</v>
      </c>
      <c r="H169" t="s">
        <v>960</v>
      </c>
      <c r="I169" t="s">
        <v>74</v>
      </c>
      <c r="J169" t="s">
        <v>151</v>
      </c>
      <c r="K169">
        <v>5</v>
      </c>
      <c r="L169">
        <v>2022</v>
      </c>
      <c r="M169" t="str">
        <f t="shared" si="2"/>
        <v>2022-1-ASB-PR-FL-5</v>
      </c>
    </row>
    <row r="170" spans="1:13" x14ac:dyDescent="0.2">
      <c r="A170" t="str">
        <f t="shared" si="3"/>
        <v>2023-1-VBS-LI-LE-1-16S</v>
      </c>
      <c r="B170" t="s">
        <v>653</v>
      </c>
      <c r="C170" s="88">
        <v>44701</v>
      </c>
      <c r="D170" s="88" t="s">
        <v>962</v>
      </c>
      <c r="E170" t="s">
        <v>549</v>
      </c>
      <c r="F170" t="s">
        <v>22</v>
      </c>
      <c r="G170" t="s">
        <v>547</v>
      </c>
      <c r="H170" t="s">
        <v>961</v>
      </c>
      <c r="I170" t="s">
        <v>36</v>
      </c>
      <c r="J170" t="s">
        <v>152</v>
      </c>
      <c r="K170">
        <v>1</v>
      </c>
      <c r="L170">
        <v>2022</v>
      </c>
      <c r="M170" t="str">
        <f t="shared" si="2"/>
        <v>2022-1-VBS-LI-LE-1</v>
      </c>
    </row>
    <row r="171" spans="1:13" x14ac:dyDescent="0.2">
      <c r="A171" t="str">
        <f t="shared" si="3"/>
        <v>2023-1-VBS-LI-FL-1-16S</v>
      </c>
      <c r="B171" t="s">
        <v>652</v>
      </c>
      <c r="C171" s="88">
        <v>44701</v>
      </c>
      <c r="D171" s="88" t="s">
        <v>962</v>
      </c>
      <c r="E171" t="s">
        <v>549</v>
      </c>
      <c r="F171" t="s">
        <v>22</v>
      </c>
      <c r="G171" t="s">
        <v>547</v>
      </c>
      <c r="H171" t="s">
        <v>961</v>
      </c>
      <c r="I171" t="s">
        <v>36</v>
      </c>
      <c r="J171" t="s">
        <v>151</v>
      </c>
      <c r="K171">
        <v>1</v>
      </c>
      <c r="L171">
        <v>2022</v>
      </c>
      <c r="M171" t="str">
        <f t="shared" si="2"/>
        <v>2022-1-VBS-LI-FL-1</v>
      </c>
    </row>
    <row r="172" spans="1:13" x14ac:dyDescent="0.2">
      <c r="A172" t="str">
        <f t="shared" si="3"/>
        <v>2023-1-VBS-LI-LE-2-16S</v>
      </c>
      <c r="B172" t="s">
        <v>750</v>
      </c>
      <c r="C172" s="88">
        <v>44701</v>
      </c>
      <c r="D172" s="88" t="s">
        <v>962</v>
      </c>
      <c r="E172" t="s">
        <v>549</v>
      </c>
      <c r="F172" t="s">
        <v>22</v>
      </c>
      <c r="G172" t="s">
        <v>547</v>
      </c>
      <c r="H172" t="s">
        <v>961</v>
      </c>
      <c r="I172" t="s">
        <v>36</v>
      </c>
      <c r="J172" t="s">
        <v>152</v>
      </c>
      <c r="K172">
        <v>2</v>
      </c>
      <c r="L172">
        <v>2022</v>
      </c>
      <c r="M172" t="str">
        <f t="shared" si="2"/>
        <v>2022-1-VBS-LI-LE-2</v>
      </c>
    </row>
    <row r="173" spans="1:13" x14ac:dyDescent="0.2">
      <c r="A173" t="str">
        <f t="shared" si="3"/>
        <v>2023-1-VBS-LI-FL-2-16S</v>
      </c>
      <c r="B173" t="s">
        <v>749</v>
      </c>
      <c r="C173" s="88">
        <v>44701</v>
      </c>
      <c r="D173" s="88" t="s">
        <v>962</v>
      </c>
      <c r="E173" t="s">
        <v>549</v>
      </c>
      <c r="F173" t="s">
        <v>22</v>
      </c>
      <c r="G173" t="s">
        <v>547</v>
      </c>
      <c r="H173" t="s">
        <v>961</v>
      </c>
      <c r="I173" t="s">
        <v>36</v>
      </c>
      <c r="J173" t="s">
        <v>151</v>
      </c>
      <c r="K173">
        <v>2</v>
      </c>
      <c r="L173">
        <v>2022</v>
      </c>
      <c r="M173" t="str">
        <f t="shared" si="2"/>
        <v>2022-1-VBS-LI-FL-2</v>
      </c>
    </row>
    <row r="174" spans="1:13" x14ac:dyDescent="0.2">
      <c r="A174" t="str">
        <f t="shared" si="3"/>
        <v>2023-1-VBS-LI-LE-3-16S</v>
      </c>
      <c r="B174" t="s">
        <v>752</v>
      </c>
      <c r="C174" s="88">
        <v>44701</v>
      </c>
      <c r="D174" s="88" t="s">
        <v>962</v>
      </c>
      <c r="E174" t="s">
        <v>549</v>
      </c>
      <c r="F174" t="s">
        <v>22</v>
      </c>
      <c r="G174" t="s">
        <v>547</v>
      </c>
      <c r="H174" t="s">
        <v>961</v>
      </c>
      <c r="I174" t="s">
        <v>36</v>
      </c>
      <c r="J174" t="s">
        <v>152</v>
      </c>
      <c r="K174">
        <v>3</v>
      </c>
      <c r="L174">
        <v>2022</v>
      </c>
      <c r="M174" t="str">
        <f t="shared" si="2"/>
        <v>2022-1-VBS-LI-LE-3</v>
      </c>
    </row>
    <row r="175" spans="1:13" x14ac:dyDescent="0.2">
      <c r="A175" t="str">
        <f t="shared" si="3"/>
        <v>2023-1-VBS-LI-FL-3-16S</v>
      </c>
      <c r="B175" t="s">
        <v>751</v>
      </c>
      <c r="C175" s="88">
        <v>44701</v>
      </c>
      <c r="D175" s="88" t="s">
        <v>962</v>
      </c>
      <c r="E175" t="s">
        <v>549</v>
      </c>
      <c r="F175" t="s">
        <v>22</v>
      </c>
      <c r="G175" t="s">
        <v>547</v>
      </c>
      <c r="H175" t="s">
        <v>961</v>
      </c>
      <c r="I175" t="s">
        <v>36</v>
      </c>
      <c r="J175" t="s">
        <v>151</v>
      </c>
      <c r="K175">
        <v>3</v>
      </c>
      <c r="L175">
        <v>2022</v>
      </c>
      <c r="M175" t="str">
        <f t="shared" ref="M175:M238" si="4">L175&amp;"-"&amp;B175</f>
        <v>2022-1-VBS-LI-FL-3</v>
      </c>
    </row>
    <row r="176" spans="1:13" x14ac:dyDescent="0.2">
      <c r="A176" t="str">
        <f t="shared" si="3"/>
        <v>2023-1-VBS-LI-LE-4-16S</v>
      </c>
      <c r="B176" t="s">
        <v>1363</v>
      </c>
      <c r="C176" s="88">
        <v>44701</v>
      </c>
      <c r="D176" s="88" t="s">
        <v>962</v>
      </c>
      <c r="E176" t="s">
        <v>549</v>
      </c>
      <c r="F176" t="s">
        <v>22</v>
      </c>
      <c r="G176" t="s">
        <v>547</v>
      </c>
      <c r="H176" t="s">
        <v>961</v>
      </c>
      <c r="I176" t="s">
        <v>36</v>
      </c>
      <c r="J176" t="s">
        <v>152</v>
      </c>
      <c r="K176">
        <v>4</v>
      </c>
      <c r="L176">
        <v>2022</v>
      </c>
      <c r="M176" t="str">
        <f t="shared" si="4"/>
        <v>2022-1-VBS-LI-LE-4</v>
      </c>
    </row>
    <row r="177" spans="1:13" x14ac:dyDescent="0.2">
      <c r="A177" t="str">
        <f t="shared" si="3"/>
        <v>2023-1-VBS-LI-FL-4-16S</v>
      </c>
      <c r="B177" t="s">
        <v>1364</v>
      </c>
      <c r="C177" s="88">
        <v>44701</v>
      </c>
      <c r="D177" s="88" t="s">
        <v>962</v>
      </c>
      <c r="E177" t="s">
        <v>549</v>
      </c>
      <c r="F177" t="s">
        <v>22</v>
      </c>
      <c r="G177" t="s">
        <v>547</v>
      </c>
      <c r="H177" t="s">
        <v>961</v>
      </c>
      <c r="I177" t="s">
        <v>36</v>
      </c>
      <c r="J177" t="s">
        <v>151</v>
      </c>
      <c r="K177">
        <v>4</v>
      </c>
      <c r="L177">
        <v>2022</v>
      </c>
      <c r="M177" t="str">
        <f t="shared" si="4"/>
        <v>2022-1-VBS-LI-FL-4</v>
      </c>
    </row>
    <row r="178" spans="1:13" x14ac:dyDescent="0.2">
      <c r="A178" t="str">
        <f t="shared" si="3"/>
        <v>2023-1-VBS-LI-LE-5-16S</v>
      </c>
      <c r="B178" t="s">
        <v>1365</v>
      </c>
      <c r="C178" s="88">
        <v>44701</v>
      </c>
      <c r="D178" s="88" t="s">
        <v>962</v>
      </c>
      <c r="E178" t="s">
        <v>549</v>
      </c>
      <c r="F178" t="s">
        <v>22</v>
      </c>
      <c r="G178" t="s">
        <v>547</v>
      </c>
      <c r="H178" t="s">
        <v>961</v>
      </c>
      <c r="I178" t="s">
        <v>36</v>
      </c>
      <c r="J178" t="s">
        <v>152</v>
      </c>
      <c r="K178">
        <v>5</v>
      </c>
      <c r="L178">
        <v>2022</v>
      </c>
      <c r="M178" t="str">
        <f t="shared" si="4"/>
        <v>2022-1-VBS-LI-LE-5</v>
      </c>
    </row>
    <row r="179" spans="1:13" x14ac:dyDescent="0.2">
      <c r="A179" t="str">
        <f t="shared" si="3"/>
        <v>2023-1-VBS-LI-FL-5-16S</v>
      </c>
      <c r="B179" t="s">
        <v>1366</v>
      </c>
      <c r="C179" s="88">
        <v>44701</v>
      </c>
      <c r="D179" s="88" t="s">
        <v>962</v>
      </c>
      <c r="E179" t="s">
        <v>549</v>
      </c>
      <c r="F179" t="s">
        <v>22</v>
      </c>
      <c r="G179" t="s">
        <v>547</v>
      </c>
      <c r="H179" t="s">
        <v>961</v>
      </c>
      <c r="I179" t="s">
        <v>36</v>
      </c>
      <c r="J179" t="s">
        <v>151</v>
      </c>
      <c r="K179">
        <v>5</v>
      </c>
      <c r="L179">
        <v>2022</v>
      </c>
      <c r="M179" t="str">
        <f t="shared" si="4"/>
        <v>2022-1-VBS-LI-FL-5</v>
      </c>
    </row>
    <row r="180" spans="1:13" x14ac:dyDescent="0.2">
      <c r="A180" t="str">
        <f t="shared" si="3"/>
        <v>2023-1-VBS-CL-LE-1-16S</v>
      </c>
      <c r="B180" t="s">
        <v>722</v>
      </c>
      <c r="C180" s="88">
        <v>44701</v>
      </c>
      <c r="D180" s="88" t="s">
        <v>962</v>
      </c>
      <c r="E180" t="s">
        <v>549</v>
      </c>
      <c r="F180" t="s">
        <v>22</v>
      </c>
      <c r="G180" t="s">
        <v>547</v>
      </c>
      <c r="H180" t="s">
        <v>961</v>
      </c>
      <c r="I180" t="s">
        <v>43</v>
      </c>
      <c r="J180" t="s">
        <v>152</v>
      </c>
      <c r="K180">
        <v>1</v>
      </c>
      <c r="L180">
        <v>2022</v>
      </c>
      <c r="M180" t="str">
        <f t="shared" si="4"/>
        <v>2022-1-VBS-CL-LE-1</v>
      </c>
    </row>
    <row r="181" spans="1:13" x14ac:dyDescent="0.2">
      <c r="A181" t="str">
        <f t="shared" si="3"/>
        <v>2023-1-VBS-CL-FL-1-16S</v>
      </c>
      <c r="B181" t="s">
        <v>721</v>
      </c>
      <c r="C181" s="88">
        <v>44701</v>
      </c>
      <c r="D181" s="88" t="s">
        <v>962</v>
      </c>
      <c r="E181" t="s">
        <v>549</v>
      </c>
      <c r="F181" t="s">
        <v>22</v>
      </c>
      <c r="G181" t="s">
        <v>547</v>
      </c>
      <c r="H181" t="s">
        <v>961</v>
      </c>
      <c r="I181" t="s">
        <v>43</v>
      </c>
      <c r="J181" t="s">
        <v>151</v>
      </c>
      <c r="K181">
        <v>1</v>
      </c>
      <c r="L181">
        <v>2022</v>
      </c>
      <c r="M181" t="str">
        <f t="shared" si="4"/>
        <v>2022-1-VBS-CL-FL-1</v>
      </c>
    </row>
    <row r="182" spans="1:13" x14ac:dyDescent="0.2">
      <c r="A182" t="str">
        <f t="shared" si="3"/>
        <v>2023-1-VBS-CL-LE-2-16S</v>
      </c>
      <c r="B182" t="s">
        <v>726</v>
      </c>
      <c r="C182" s="88">
        <v>44701</v>
      </c>
      <c r="D182" s="88" t="s">
        <v>962</v>
      </c>
      <c r="E182" t="s">
        <v>549</v>
      </c>
      <c r="F182" t="s">
        <v>22</v>
      </c>
      <c r="G182" t="s">
        <v>547</v>
      </c>
      <c r="H182" t="s">
        <v>961</v>
      </c>
      <c r="I182" t="s">
        <v>43</v>
      </c>
      <c r="J182" t="s">
        <v>152</v>
      </c>
      <c r="K182">
        <v>2</v>
      </c>
      <c r="L182">
        <v>2022</v>
      </c>
      <c r="M182" t="str">
        <f t="shared" si="4"/>
        <v>2022-1-VBS-CL-LE-2</v>
      </c>
    </row>
    <row r="183" spans="1:13" x14ac:dyDescent="0.2">
      <c r="A183" t="str">
        <f t="shared" si="3"/>
        <v>2023-1-VBS-CL-FL-2-16S</v>
      </c>
      <c r="B183" t="s">
        <v>725</v>
      </c>
      <c r="C183" s="88">
        <v>44701</v>
      </c>
      <c r="D183" s="88" t="s">
        <v>962</v>
      </c>
      <c r="E183" t="s">
        <v>549</v>
      </c>
      <c r="F183" t="s">
        <v>22</v>
      </c>
      <c r="G183" t="s">
        <v>547</v>
      </c>
      <c r="H183" t="s">
        <v>961</v>
      </c>
      <c r="I183" t="s">
        <v>43</v>
      </c>
      <c r="J183" t="s">
        <v>151</v>
      </c>
      <c r="K183">
        <v>2</v>
      </c>
      <c r="L183">
        <v>2022</v>
      </c>
      <c r="M183" t="str">
        <f t="shared" si="4"/>
        <v>2022-1-VBS-CL-FL-2</v>
      </c>
    </row>
    <row r="184" spans="1:13" x14ac:dyDescent="0.2">
      <c r="A184" t="str">
        <f t="shared" si="3"/>
        <v>2023-1-VBS-CL-LE-3-16S</v>
      </c>
      <c r="B184" t="s">
        <v>728</v>
      </c>
      <c r="C184" s="88">
        <v>44701</v>
      </c>
      <c r="D184" s="88" t="s">
        <v>962</v>
      </c>
      <c r="E184" t="s">
        <v>549</v>
      </c>
      <c r="F184" t="s">
        <v>22</v>
      </c>
      <c r="G184" t="s">
        <v>547</v>
      </c>
      <c r="H184" t="s">
        <v>961</v>
      </c>
      <c r="I184" t="s">
        <v>43</v>
      </c>
      <c r="J184" t="s">
        <v>152</v>
      </c>
      <c r="K184">
        <v>3</v>
      </c>
      <c r="L184">
        <v>2022</v>
      </c>
      <c r="M184" t="str">
        <f t="shared" si="4"/>
        <v>2022-1-VBS-CL-LE-3</v>
      </c>
    </row>
    <row r="185" spans="1:13" x14ac:dyDescent="0.2">
      <c r="A185" t="str">
        <f t="shared" si="3"/>
        <v>2023-1-VBS-CL-FL-3-16S</v>
      </c>
      <c r="B185" t="s">
        <v>727</v>
      </c>
      <c r="C185" s="88">
        <v>44701</v>
      </c>
      <c r="D185" s="88" t="s">
        <v>962</v>
      </c>
      <c r="E185" t="s">
        <v>549</v>
      </c>
      <c r="F185" t="s">
        <v>22</v>
      </c>
      <c r="G185" t="s">
        <v>547</v>
      </c>
      <c r="H185" t="s">
        <v>961</v>
      </c>
      <c r="I185" t="s">
        <v>43</v>
      </c>
      <c r="J185" t="s">
        <v>151</v>
      </c>
      <c r="K185">
        <v>3</v>
      </c>
      <c r="L185">
        <v>2022</v>
      </c>
      <c r="M185" t="str">
        <f t="shared" si="4"/>
        <v>2022-1-VBS-CL-FL-3</v>
      </c>
    </row>
    <row r="186" spans="1:13" x14ac:dyDescent="0.2">
      <c r="A186" t="str">
        <f t="shared" si="3"/>
        <v>2023-1-VBS-CL-LE-4-16S</v>
      </c>
      <c r="B186" t="s">
        <v>1367</v>
      </c>
      <c r="C186" s="88">
        <v>44701</v>
      </c>
      <c r="D186" s="88" t="s">
        <v>962</v>
      </c>
      <c r="E186" t="s">
        <v>549</v>
      </c>
      <c r="F186" t="s">
        <v>22</v>
      </c>
      <c r="G186" t="s">
        <v>547</v>
      </c>
      <c r="H186" t="s">
        <v>961</v>
      </c>
      <c r="I186" t="s">
        <v>43</v>
      </c>
      <c r="J186" t="s">
        <v>152</v>
      </c>
      <c r="K186">
        <v>4</v>
      </c>
      <c r="L186">
        <v>2022</v>
      </c>
      <c r="M186" t="str">
        <f t="shared" si="4"/>
        <v>2022-1-VBS-CL-LE-4</v>
      </c>
    </row>
    <row r="187" spans="1:13" x14ac:dyDescent="0.2">
      <c r="A187" t="str">
        <f t="shared" si="3"/>
        <v>2023-1-VBS-CL-FL-4-16S</v>
      </c>
      <c r="B187" t="s">
        <v>1368</v>
      </c>
      <c r="C187" s="88">
        <v>44701</v>
      </c>
      <c r="D187" s="88" t="s">
        <v>962</v>
      </c>
      <c r="E187" t="s">
        <v>549</v>
      </c>
      <c r="F187" t="s">
        <v>22</v>
      </c>
      <c r="G187" t="s">
        <v>547</v>
      </c>
      <c r="H187" t="s">
        <v>961</v>
      </c>
      <c r="I187" t="s">
        <v>43</v>
      </c>
      <c r="J187" t="s">
        <v>151</v>
      </c>
      <c r="K187">
        <v>4</v>
      </c>
      <c r="L187">
        <v>2022</v>
      </c>
      <c r="M187" t="str">
        <f t="shared" si="4"/>
        <v>2022-1-VBS-CL-FL-4</v>
      </c>
    </row>
    <row r="188" spans="1:13" x14ac:dyDescent="0.2">
      <c r="A188" t="str">
        <f t="shared" si="3"/>
        <v>2023-1-VBS-CL-LE-5-16S</v>
      </c>
      <c r="B188" t="s">
        <v>1369</v>
      </c>
      <c r="C188" s="88">
        <v>44701</v>
      </c>
      <c r="D188" s="88" t="s">
        <v>962</v>
      </c>
      <c r="E188" t="s">
        <v>549</v>
      </c>
      <c r="F188" t="s">
        <v>22</v>
      </c>
      <c r="G188" t="s">
        <v>547</v>
      </c>
      <c r="H188" t="s">
        <v>961</v>
      </c>
      <c r="I188" t="s">
        <v>43</v>
      </c>
      <c r="J188" t="s">
        <v>152</v>
      </c>
      <c r="K188">
        <v>5</v>
      </c>
      <c r="L188">
        <v>2022</v>
      </c>
      <c r="M188" t="str">
        <f t="shared" si="4"/>
        <v>2022-1-VBS-CL-LE-5</v>
      </c>
    </row>
    <row r="189" spans="1:13" x14ac:dyDescent="0.2">
      <c r="A189" t="str">
        <f t="shared" si="3"/>
        <v>2023-1-VBS-CL-FL-5-16S</v>
      </c>
      <c r="B189" t="s">
        <v>1370</v>
      </c>
      <c r="C189" s="88">
        <v>44701</v>
      </c>
      <c r="D189" s="88" t="s">
        <v>962</v>
      </c>
      <c r="E189" t="s">
        <v>549</v>
      </c>
      <c r="F189" t="s">
        <v>22</v>
      </c>
      <c r="G189" t="s">
        <v>547</v>
      </c>
      <c r="H189" t="s">
        <v>961</v>
      </c>
      <c r="I189" t="s">
        <v>43</v>
      </c>
      <c r="J189" t="s">
        <v>151</v>
      </c>
      <c r="K189">
        <v>5</v>
      </c>
      <c r="L189">
        <v>2022</v>
      </c>
      <c r="M189" t="str">
        <f t="shared" si="4"/>
        <v>2022-1-VBS-CL-FL-5</v>
      </c>
    </row>
    <row r="190" spans="1:13" x14ac:dyDescent="0.2">
      <c r="A190" t="str">
        <f t="shared" si="3"/>
        <v>2023-1-VBS-PR-LE-1-16S</v>
      </c>
      <c r="B190" t="s">
        <v>730</v>
      </c>
      <c r="C190" s="88">
        <v>44701</v>
      </c>
      <c r="D190" s="88" t="s">
        <v>962</v>
      </c>
      <c r="E190" t="s">
        <v>549</v>
      </c>
      <c r="F190" t="s">
        <v>22</v>
      </c>
      <c r="G190" t="s">
        <v>547</v>
      </c>
      <c r="H190" t="s">
        <v>961</v>
      </c>
      <c r="I190" t="s">
        <v>74</v>
      </c>
      <c r="J190" t="s">
        <v>152</v>
      </c>
      <c r="K190">
        <v>1</v>
      </c>
      <c r="L190">
        <v>2022</v>
      </c>
      <c r="M190" t="str">
        <f t="shared" si="4"/>
        <v>2022-1-VBS-PR-LE-1</v>
      </c>
    </row>
    <row r="191" spans="1:13" x14ac:dyDescent="0.2">
      <c r="A191" t="str">
        <f t="shared" si="3"/>
        <v>2023-1-VBS-PR-FL-1-16S</v>
      </c>
      <c r="B191" t="s">
        <v>729</v>
      </c>
      <c r="C191" s="88">
        <v>44701</v>
      </c>
      <c r="D191" s="88" t="s">
        <v>962</v>
      </c>
      <c r="E191" t="s">
        <v>549</v>
      </c>
      <c r="F191" t="s">
        <v>22</v>
      </c>
      <c r="G191" t="s">
        <v>547</v>
      </c>
      <c r="H191" t="s">
        <v>961</v>
      </c>
      <c r="I191" t="s">
        <v>74</v>
      </c>
      <c r="J191" t="s">
        <v>151</v>
      </c>
      <c r="K191">
        <v>1</v>
      </c>
      <c r="L191">
        <v>2022</v>
      </c>
      <c r="M191" t="str">
        <f t="shared" si="4"/>
        <v>2022-1-VBS-PR-FL-1</v>
      </c>
    </row>
    <row r="192" spans="1:13" x14ac:dyDescent="0.2">
      <c r="A192" t="str">
        <f t="shared" si="3"/>
        <v>2023-1-VBS-PR-LE-2-16S</v>
      </c>
      <c r="B192" t="s">
        <v>734</v>
      </c>
      <c r="C192" s="88">
        <v>44701</v>
      </c>
      <c r="D192" s="88" t="s">
        <v>962</v>
      </c>
      <c r="E192" t="s">
        <v>549</v>
      </c>
      <c r="F192" t="s">
        <v>22</v>
      </c>
      <c r="G192" t="s">
        <v>547</v>
      </c>
      <c r="H192" t="s">
        <v>961</v>
      </c>
      <c r="I192" t="s">
        <v>74</v>
      </c>
      <c r="J192" t="s">
        <v>152</v>
      </c>
      <c r="K192">
        <v>2</v>
      </c>
      <c r="L192">
        <v>2022</v>
      </c>
      <c r="M192" t="str">
        <f t="shared" si="4"/>
        <v>2022-1-VBS-PR-LE-2</v>
      </c>
    </row>
    <row r="193" spans="1:13" x14ac:dyDescent="0.2">
      <c r="A193" t="str">
        <f t="shared" si="3"/>
        <v>2023-1-VBS-PR-FL-2-16S</v>
      </c>
      <c r="B193" t="s">
        <v>733</v>
      </c>
      <c r="C193" s="88">
        <v>44701</v>
      </c>
      <c r="D193" s="88" t="s">
        <v>962</v>
      </c>
      <c r="E193" t="s">
        <v>549</v>
      </c>
      <c r="F193" t="s">
        <v>22</v>
      </c>
      <c r="G193" t="s">
        <v>547</v>
      </c>
      <c r="H193" t="s">
        <v>961</v>
      </c>
      <c r="I193" t="s">
        <v>74</v>
      </c>
      <c r="J193" t="s">
        <v>151</v>
      </c>
      <c r="K193">
        <v>2</v>
      </c>
      <c r="L193">
        <v>2022</v>
      </c>
      <c r="M193" t="str">
        <f t="shared" si="4"/>
        <v>2022-1-VBS-PR-FL-2</v>
      </c>
    </row>
    <row r="194" spans="1:13" x14ac:dyDescent="0.2">
      <c r="A194" t="str">
        <f t="shared" si="3"/>
        <v>2023-1-VBS-PR-LE-3-16S</v>
      </c>
      <c r="B194" t="s">
        <v>736</v>
      </c>
      <c r="C194" s="88">
        <v>44701</v>
      </c>
      <c r="D194" s="88" t="s">
        <v>962</v>
      </c>
      <c r="E194" t="s">
        <v>549</v>
      </c>
      <c r="F194" t="s">
        <v>22</v>
      </c>
      <c r="G194" t="s">
        <v>547</v>
      </c>
      <c r="H194" t="s">
        <v>961</v>
      </c>
      <c r="I194" t="s">
        <v>74</v>
      </c>
      <c r="J194" t="s">
        <v>152</v>
      </c>
      <c r="K194">
        <v>3</v>
      </c>
      <c r="L194">
        <v>2022</v>
      </c>
      <c r="M194" t="str">
        <f t="shared" si="4"/>
        <v>2022-1-VBS-PR-LE-3</v>
      </c>
    </row>
    <row r="195" spans="1:13" x14ac:dyDescent="0.2">
      <c r="A195" t="str">
        <f t="shared" ref="A195:A258" si="5" xml:space="preserve"> "2023-" &amp; B195&amp;"-16S"</f>
        <v>2023-1-VBS-PR-FL-3-16S</v>
      </c>
      <c r="B195" t="s">
        <v>735</v>
      </c>
      <c r="C195" s="88">
        <v>44701</v>
      </c>
      <c r="D195" s="88" t="s">
        <v>962</v>
      </c>
      <c r="E195" t="s">
        <v>549</v>
      </c>
      <c r="F195" t="s">
        <v>22</v>
      </c>
      <c r="G195" t="s">
        <v>547</v>
      </c>
      <c r="H195" t="s">
        <v>961</v>
      </c>
      <c r="I195" t="s">
        <v>74</v>
      </c>
      <c r="J195" t="s">
        <v>151</v>
      </c>
      <c r="K195">
        <v>3</v>
      </c>
      <c r="L195">
        <v>2022</v>
      </c>
      <c r="M195" t="str">
        <f t="shared" si="4"/>
        <v>2022-1-VBS-PR-FL-3</v>
      </c>
    </row>
    <row r="196" spans="1:13" x14ac:dyDescent="0.2">
      <c r="A196" t="str">
        <f t="shared" si="5"/>
        <v>2023-1-VBS-PR-LE-4-16S</v>
      </c>
      <c r="B196" t="s">
        <v>1371</v>
      </c>
      <c r="C196" s="88">
        <v>44701</v>
      </c>
      <c r="D196" s="88" t="s">
        <v>962</v>
      </c>
      <c r="E196" t="s">
        <v>549</v>
      </c>
      <c r="F196" t="s">
        <v>22</v>
      </c>
      <c r="G196" t="s">
        <v>547</v>
      </c>
      <c r="H196" t="s">
        <v>961</v>
      </c>
      <c r="I196" t="s">
        <v>74</v>
      </c>
      <c r="J196" t="s">
        <v>152</v>
      </c>
      <c r="K196">
        <v>4</v>
      </c>
      <c r="L196">
        <v>2022</v>
      </c>
      <c r="M196" t="str">
        <f t="shared" si="4"/>
        <v>2022-1-VBS-PR-LE-4</v>
      </c>
    </row>
    <row r="197" spans="1:13" x14ac:dyDescent="0.2">
      <c r="A197" t="str">
        <f t="shared" si="5"/>
        <v>2023-1-VBS-PR-FL-4-16S</v>
      </c>
      <c r="B197" t="s">
        <v>1372</v>
      </c>
      <c r="C197" s="88">
        <v>44701</v>
      </c>
      <c r="D197" s="88" t="s">
        <v>962</v>
      </c>
      <c r="E197" t="s">
        <v>549</v>
      </c>
      <c r="F197" t="s">
        <v>22</v>
      </c>
      <c r="G197" t="s">
        <v>547</v>
      </c>
      <c r="H197" t="s">
        <v>961</v>
      </c>
      <c r="I197" t="s">
        <v>74</v>
      </c>
      <c r="J197" t="s">
        <v>151</v>
      </c>
      <c r="K197">
        <v>4</v>
      </c>
      <c r="L197">
        <v>2022</v>
      </c>
      <c r="M197" t="str">
        <f t="shared" si="4"/>
        <v>2022-1-VBS-PR-FL-4</v>
      </c>
    </row>
    <row r="198" spans="1:13" x14ac:dyDescent="0.2">
      <c r="A198" t="str">
        <f t="shared" si="5"/>
        <v>2023-1-VBS-PR-LE-5-16S</v>
      </c>
      <c r="B198" t="s">
        <v>1373</v>
      </c>
      <c r="C198" s="88">
        <v>44701</v>
      </c>
      <c r="D198" s="88" t="s">
        <v>962</v>
      </c>
      <c r="E198" t="s">
        <v>549</v>
      </c>
      <c r="F198" t="s">
        <v>22</v>
      </c>
      <c r="G198" t="s">
        <v>547</v>
      </c>
      <c r="H198" t="s">
        <v>961</v>
      </c>
      <c r="I198" t="s">
        <v>74</v>
      </c>
      <c r="J198" t="s">
        <v>152</v>
      </c>
      <c r="K198">
        <v>5</v>
      </c>
      <c r="L198">
        <v>2022</v>
      </c>
      <c r="M198" t="str">
        <f t="shared" si="4"/>
        <v>2022-1-VBS-PR-LE-5</v>
      </c>
    </row>
    <row r="199" spans="1:13" x14ac:dyDescent="0.2">
      <c r="A199" t="str">
        <f t="shared" si="5"/>
        <v>2023-1-VBS-PR-FL-5-16S</v>
      </c>
      <c r="B199" t="s">
        <v>1374</v>
      </c>
      <c r="C199" s="88">
        <v>44701</v>
      </c>
      <c r="D199" s="88" t="s">
        <v>962</v>
      </c>
      <c r="E199" t="s">
        <v>549</v>
      </c>
      <c r="F199" t="s">
        <v>22</v>
      </c>
      <c r="G199" t="s">
        <v>547</v>
      </c>
      <c r="H199" t="s">
        <v>961</v>
      </c>
      <c r="I199" t="s">
        <v>74</v>
      </c>
      <c r="J199" t="s">
        <v>151</v>
      </c>
      <c r="K199">
        <v>5</v>
      </c>
      <c r="L199">
        <v>2022</v>
      </c>
      <c r="M199" t="str">
        <f t="shared" si="4"/>
        <v>2022-1-VBS-PR-FL-5</v>
      </c>
    </row>
    <row r="200" spans="1:13" x14ac:dyDescent="0.2">
      <c r="A200" t="str">
        <f t="shared" si="5"/>
        <v>2023-2-PMB-LI-LE-1-16S</v>
      </c>
      <c r="B200" t="s">
        <v>805</v>
      </c>
      <c r="C200" s="88">
        <v>44753</v>
      </c>
      <c r="D200" s="88" t="s">
        <v>963</v>
      </c>
      <c r="E200" t="s">
        <v>8</v>
      </c>
      <c r="F200" t="s">
        <v>9</v>
      </c>
      <c r="G200" t="s">
        <v>545</v>
      </c>
      <c r="H200" t="s">
        <v>960</v>
      </c>
      <c r="I200" t="s">
        <v>36</v>
      </c>
      <c r="J200" t="s">
        <v>152</v>
      </c>
      <c r="K200">
        <v>1</v>
      </c>
      <c r="L200">
        <v>2022</v>
      </c>
      <c r="M200" t="str">
        <f t="shared" si="4"/>
        <v>2022-2-PMB-LI-LE-1</v>
      </c>
    </row>
    <row r="201" spans="1:13" x14ac:dyDescent="0.2">
      <c r="A201" t="str">
        <f t="shared" si="5"/>
        <v>2023-2-PMB-LI-LE-2-16S</v>
      </c>
      <c r="B201" t="s">
        <v>634</v>
      </c>
      <c r="C201" s="88">
        <v>44753</v>
      </c>
      <c r="D201" s="88" t="s">
        <v>963</v>
      </c>
      <c r="E201" t="s">
        <v>8</v>
      </c>
      <c r="F201" t="s">
        <v>9</v>
      </c>
      <c r="G201" t="s">
        <v>545</v>
      </c>
      <c r="H201" t="s">
        <v>960</v>
      </c>
      <c r="I201" t="s">
        <v>36</v>
      </c>
      <c r="J201" t="s">
        <v>152</v>
      </c>
      <c r="K201">
        <v>2</v>
      </c>
      <c r="L201">
        <v>2022</v>
      </c>
      <c r="M201" t="str">
        <f t="shared" si="4"/>
        <v>2022-2-PMB-LI-LE-2</v>
      </c>
    </row>
    <row r="202" spans="1:13" x14ac:dyDescent="0.2">
      <c r="A202" t="str">
        <f t="shared" si="5"/>
        <v>2023-2-PMB-LI-LE-3-16S</v>
      </c>
      <c r="B202" t="s">
        <v>806</v>
      </c>
      <c r="C202" s="88">
        <v>44753</v>
      </c>
      <c r="D202" s="88" t="s">
        <v>963</v>
      </c>
      <c r="E202" t="s">
        <v>8</v>
      </c>
      <c r="F202" t="s">
        <v>9</v>
      </c>
      <c r="G202" t="s">
        <v>545</v>
      </c>
      <c r="H202" t="s">
        <v>960</v>
      </c>
      <c r="I202" t="s">
        <v>36</v>
      </c>
      <c r="J202" t="s">
        <v>152</v>
      </c>
      <c r="K202">
        <v>3</v>
      </c>
      <c r="L202">
        <v>2022</v>
      </c>
      <c r="M202" t="str">
        <f t="shared" si="4"/>
        <v>2022-2-PMB-LI-LE-3</v>
      </c>
    </row>
    <row r="203" spans="1:13" x14ac:dyDescent="0.2">
      <c r="A203" t="str">
        <f t="shared" si="5"/>
        <v>2023-2-PMB-LI-LE-4-16S</v>
      </c>
      <c r="B203" t="s">
        <v>1375</v>
      </c>
      <c r="C203" s="88">
        <v>44753</v>
      </c>
      <c r="D203" s="88" t="s">
        <v>963</v>
      </c>
      <c r="E203" t="s">
        <v>8</v>
      </c>
      <c r="F203" t="s">
        <v>9</v>
      </c>
      <c r="G203" t="s">
        <v>545</v>
      </c>
      <c r="H203" t="s">
        <v>960</v>
      </c>
      <c r="I203" t="s">
        <v>36</v>
      </c>
      <c r="J203" t="s">
        <v>152</v>
      </c>
      <c r="K203">
        <v>4</v>
      </c>
      <c r="L203">
        <v>2022</v>
      </c>
      <c r="M203" t="str">
        <f t="shared" si="4"/>
        <v>2022-2-PMB-LI-LE-4</v>
      </c>
    </row>
    <row r="204" spans="1:13" x14ac:dyDescent="0.2">
      <c r="A204" t="str">
        <f t="shared" si="5"/>
        <v>2023-2-PMB-LI-LE-5-16S</v>
      </c>
      <c r="B204" t="s">
        <v>1376</v>
      </c>
      <c r="C204" s="88">
        <v>44753</v>
      </c>
      <c r="D204" s="88" t="s">
        <v>963</v>
      </c>
      <c r="E204" t="s">
        <v>8</v>
      </c>
      <c r="F204" t="s">
        <v>9</v>
      </c>
      <c r="G204" t="s">
        <v>545</v>
      </c>
      <c r="H204" t="s">
        <v>960</v>
      </c>
      <c r="I204" t="s">
        <v>36</v>
      </c>
      <c r="J204" t="s">
        <v>152</v>
      </c>
      <c r="K204">
        <v>5</v>
      </c>
      <c r="L204">
        <v>2022</v>
      </c>
      <c r="M204" t="str">
        <f t="shared" si="4"/>
        <v>2022-2-PMB-LI-LE-5</v>
      </c>
    </row>
    <row r="205" spans="1:13" x14ac:dyDescent="0.2">
      <c r="A205" t="str">
        <f t="shared" si="5"/>
        <v>2023-2-PMB-CL-LE-1-16S</v>
      </c>
      <c r="B205" t="s">
        <v>797</v>
      </c>
      <c r="C205" s="88">
        <v>44753</v>
      </c>
      <c r="D205" s="88" t="s">
        <v>963</v>
      </c>
      <c r="E205" t="s">
        <v>8</v>
      </c>
      <c r="F205" t="s">
        <v>9</v>
      </c>
      <c r="G205" t="s">
        <v>545</v>
      </c>
      <c r="H205" t="s">
        <v>960</v>
      </c>
      <c r="I205" t="s">
        <v>43</v>
      </c>
      <c r="J205" t="s">
        <v>152</v>
      </c>
      <c r="K205">
        <v>1</v>
      </c>
      <c r="L205">
        <v>2022</v>
      </c>
      <c r="M205" t="str">
        <f t="shared" si="4"/>
        <v>2022-2-PMB-CL-LE-1</v>
      </c>
    </row>
    <row r="206" spans="1:13" x14ac:dyDescent="0.2">
      <c r="A206" t="str">
        <f t="shared" si="5"/>
        <v>2023-2-PMB-CL-LE-2-16S</v>
      </c>
      <c r="B206" t="s">
        <v>606</v>
      </c>
      <c r="C206" s="88">
        <v>44753</v>
      </c>
      <c r="D206" s="88" t="s">
        <v>963</v>
      </c>
      <c r="E206" t="s">
        <v>8</v>
      </c>
      <c r="F206" t="s">
        <v>9</v>
      </c>
      <c r="G206" t="s">
        <v>545</v>
      </c>
      <c r="H206" t="s">
        <v>960</v>
      </c>
      <c r="I206" t="s">
        <v>43</v>
      </c>
      <c r="J206" t="s">
        <v>152</v>
      </c>
      <c r="K206">
        <v>2</v>
      </c>
      <c r="L206">
        <v>2022</v>
      </c>
      <c r="M206" t="str">
        <f t="shared" si="4"/>
        <v>2022-2-PMB-CL-LE-2</v>
      </c>
    </row>
    <row r="207" spans="1:13" x14ac:dyDescent="0.2">
      <c r="A207" t="str">
        <f t="shared" si="5"/>
        <v>2023-2-PMB-CL-LE-3-16S</v>
      </c>
      <c r="B207" t="s">
        <v>798</v>
      </c>
      <c r="C207" s="88">
        <v>44753</v>
      </c>
      <c r="D207" s="88" t="s">
        <v>963</v>
      </c>
      <c r="E207" t="s">
        <v>8</v>
      </c>
      <c r="F207" t="s">
        <v>9</v>
      </c>
      <c r="G207" t="s">
        <v>545</v>
      </c>
      <c r="H207" t="s">
        <v>960</v>
      </c>
      <c r="I207" t="s">
        <v>43</v>
      </c>
      <c r="J207" t="s">
        <v>152</v>
      </c>
      <c r="K207">
        <v>3</v>
      </c>
      <c r="L207">
        <v>2022</v>
      </c>
      <c r="M207" t="str">
        <f t="shared" si="4"/>
        <v>2022-2-PMB-CL-LE-3</v>
      </c>
    </row>
    <row r="208" spans="1:13" x14ac:dyDescent="0.2">
      <c r="A208" t="str">
        <f t="shared" si="5"/>
        <v>2023-2-PMB-CL-LE-4-16S</v>
      </c>
      <c r="B208" t="s">
        <v>1377</v>
      </c>
      <c r="C208" s="88">
        <v>44753</v>
      </c>
      <c r="D208" s="88" t="s">
        <v>963</v>
      </c>
      <c r="E208" t="s">
        <v>8</v>
      </c>
      <c r="F208" t="s">
        <v>9</v>
      </c>
      <c r="G208" t="s">
        <v>545</v>
      </c>
      <c r="H208" t="s">
        <v>960</v>
      </c>
      <c r="I208" t="s">
        <v>43</v>
      </c>
      <c r="J208" t="s">
        <v>152</v>
      </c>
      <c r="K208">
        <v>4</v>
      </c>
      <c r="L208">
        <v>2022</v>
      </c>
      <c r="M208" t="str">
        <f t="shared" si="4"/>
        <v>2022-2-PMB-CL-LE-4</v>
      </c>
    </row>
    <row r="209" spans="1:13" x14ac:dyDescent="0.2">
      <c r="A209" t="str">
        <f t="shared" si="5"/>
        <v>2023-2-PMB-CL-LE-5-16S</v>
      </c>
      <c r="B209" t="s">
        <v>1378</v>
      </c>
      <c r="C209" s="88">
        <v>44753</v>
      </c>
      <c r="D209" s="88" t="s">
        <v>963</v>
      </c>
      <c r="E209" t="s">
        <v>8</v>
      </c>
      <c r="F209" t="s">
        <v>9</v>
      </c>
      <c r="G209" t="s">
        <v>545</v>
      </c>
      <c r="H209" t="s">
        <v>960</v>
      </c>
      <c r="I209" t="s">
        <v>43</v>
      </c>
      <c r="J209" t="s">
        <v>152</v>
      </c>
      <c r="K209">
        <v>5</v>
      </c>
      <c r="L209">
        <v>2022</v>
      </c>
      <c r="M209" t="str">
        <f t="shared" si="4"/>
        <v>2022-2-PMB-CL-LE-5</v>
      </c>
    </row>
    <row r="210" spans="1:13" x14ac:dyDescent="0.2">
      <c r="A210" t="str">
        <f t="shared" si="5"/>
        <v>2023-2-PMB-PR-LE-1-16S</v>
      </c>
      <c r="B210" t="s">
        <v>799</v>
      </c>
      <c r="C210" s="88">
        <v>44753</v>
      </c>
      <c r="D210" s="88" t="s">
        <v>963</v>
      </c>
      <c r="E210" t="s">
        <v>8</v>
      </c>
      <c r="F210" t="s">
        <v>9</v>
      </c>
      <c r="G210" t="s">
        <v>545</v>
      </c>
      <c r="H210" t="s">
        <v>960</v>
      </c>
      <c r="I210" t="s">
        <v>74</v>
      </c>
      <c r="J210" t="s">
        <v>152</v>
      </c>
      <c r="K210">
        <v>1</v>
      </c>
      <c r="L210">
        <v>2022</v>
      </c>
      <c r="M210" t="str">
        <f t="shared" si="4"/>
        <v>2022-2-PMB-PR-LE-1</v>
      </c>
    </row>
    <row r="211" spans="1:13" x14ac:dyDescent="0.2">
      <c r="A211" t="str">
        <f t="shared" si="5"/>
        <v>2023-2-PMB-PR-LE-2-16S</v>
      </c>
      <c r="B211" t="s">
        <v>613</v>
      </c>
      <c r="C211" s="88">
        <v>44753</v>
      </c>
      <c r="D211" s="88" t="s">
        <v>963</v>
      </c>
      <c r="E211" t="s">
        <v>8</v>
      </c>
      <c r="F211" t="s">
        <v>9</v>
      </c>
      <c r="G211" t="s">
        <v>545</v>
      </c>
      <c r="H211" t="s">
        <v>960</v>
      </c>
      <c r="I211" t="s">
        <v>74</v>
      </c>
      <c r="J211" t="s">
        <v>152</v>
      </c>
      <c r="K211">
        <v>2</v>
      </c>
      <c r="L211">
        <v>2022</v>
      </c>
      <c r="M211" t="str">
        <f t="shared" si="4"/>
        <v>2022-2-PMB-PR-LE-2</v>
      </c>
    </row>
    <row r="212" spans="1:13" x14ac:dyDescent="0.2">
      <c r="A212" t="str">
        <f t="shared" si="5"/>
        <v>2023-2-PMB-PR-LE-3-16S</v>
      </c>
      <c r="B212" t="s">
        <v>800</v>
      </c>
      <c r="C212" s="88">
        <v>44753</v>
      </c>
      <c r="D212" s="88" t="s">
        <v>963</v>
      </c>
      <c r="E212" t="s">
        <v>8</v>
      </c>
      <c r="F212" t="s">
        <v>9</v>
      </c>
      <c r="G212" t="s">
        <v>545</v>
      </c>
      <c r="H212" t="s">
        <v>960</v>
      </c>
      <c r="I212" t="s">
        <v>74</v>
      </c>
      <c r="J212" t="s">
        <v>152</v>
      </c>
      <c r="K212">
        <v>3</v>
      </c>
      <c r="L212">
        <v>2022</v>
      </c>
      <c r="M212" t="str">
        <f t="shared" si="4"/>
        <v>2022-2-PMB-PR-LE-3</v>
      </c>
    </row>
    <row r="213" spans="1:13" x14ac:dyDescent="0.2">
      <c r="A213" t="str">
        <f t="shared" si="5"/>
        <v>2023-2-PMB-PR-LE-4-16S</v>
      </c>
      <c r="B213" t="s">
        <v>1379</v>
      </c>
      <c r="C213" s="88">
        <v>44753</v>
      </c>
      <c r="D213" s="88" t="s">
        <v>963</v>
      </c>
      <c r="E213" t="s">
        <v>8</v>
      </c>
      <c r="F213" t="s">
        <v>9</v>
      </c>
      <c r="G213" t="s">
        <v>545</v>
      </c>
      <c r="H213" t="s">
        <v>960</v>
      </c>
      <c r="I213" t="s">
        <v>74</v>
      </c>
      <c r="J213" t="s">
        <v>152</v>
      </c>
      <c r="K213">
        <v>4</v>
      </c>
      <c r="L213">
        <v>2022</v>
      </c>
      <c r="M213" t="str">
        <f t="shared" si="4"/>
        <v>2022-2-PMB-PR-LE-4</v>
      </c>
    </row>
    <row r="214" spans="1:13" x14ac:dyDescent="0.2">
      <c r="A214" t="str">
        <f t="shared" si="5"/>
        <v>2023-2-PMB-PR-LE-5-16S</v>
      </c>
      <c r="B214" t="s">
        <v>1380</v>
      </c>
      <c r="C214" s="88">
        <v>44753</v>
      </c>
      <c r="D214" s="88" t="s">
        <v>963</v>
      </c>
      <c r="E214" t="s">
        <v>8</v>
      </c>
      <c r="F214" t="s">
        <v>9</v>
      </c>
      <c r="G214" t="s">
        <v>545</v>
      </c>
      <c r="H214" t="s">
        <v>960</v>
      </c>
      <c r="I214" t="s">
        <v>74</v>
      </c>
      <c r="J214" t="s">
        <v>152</v>
      </c>
      <c r="K214">
        <v>5</v>
      </c>
      <c r="L214">
        <v>2022</v>
      </c>
      <c r="M214" t="str">
        <f t="shared" si="4"/>
        <v>2022-2-PMB-PR-LE-5</v>
      </c>
    </row>
    <row r="215" spans="1:13" x14ac:dyDescent="0.2">
      <c r="A215" t="str">
        <f t="shared" si="5"/>
        <v>2023-2-ASB-LI-LE-1-16S</v>
      </c>
      <c r="B215" t="s">
        <v>793</v>
      </c>
      <c r="C215" s="88">
        <v>44749</v>
      </c>
      <c r="D215" s="88" t="s">
        <v>963</v>
      </c>
      <c r="E215" t="s">
        <v>551</v>
      </c>
      <c r="F215" t="s">
        <v>16</v>
      </c>
      <c r="G215" t="s">
        <v>548</v>
      </c>
      <c r="H215" t="s">
        <v>960</v>
      </c>
      <c r="I215" t="s">
        <v>36</v>
      </c>
      <c r="J215" t="s">
        <v>152</v>
      </c>
      <c r="K215">
        <v>1</v>
      </c>
      <c r="L215">
        <v>2022</v>
      </c>
      <c r="M215" t="str">
        <f t="shared" si="4"/>
        <v>2022-2-ASB-LI-LE-1</v>
      </c>
    </row>
    <row r="216" spans="1:13" x14ac:dyDescent="0.2">
      <c r="A216" t="str">
        <f t="shared" si="5"/>
        <v>2023-2-ASB-LI-LE-2-16S</v>
      </c>
      <c r="B216" t="s">
        <v>586</v>
      </c>
      <c r="C216" s="88">
        <v>44749</v>
      </c>
      <c r="D216" s="88" t="s">
        <v>963</v>
      </c>
      <c r="E216" t="s">
        <v>551</v>
      </c>
      <c r="F216" t="s">
        <v>16</v>
      </c>
      <c r="G216" t="s">
        <v>548</v>
      </c>
      <c r="H216" t="s">
        <v>960</v>
      </c>
      <c r="I216" t="s">
        <v>36</v>
      </c>
      <c r="J216" t="s">
        <v>152</v>
      </c>
      <c r="K216">
        <v>2</v>
      </c>
      <c r="L216">
        <v>2022</v>
      </c>
      <c r="M216" t="str">
        <f t="shared" si="4"/>
        <v>2022-2-ASB-LI-LE-2</v>
      </c>
    </row>
    <row r="217" spans="1:13" x14ac:dyDescent="0.2">
      <c r="A217" t="str">
        <f t="shared" si="5"/>
        <v>2023-2-ASB-LI-LE-3-16S</v>
      </c>
      <c r="B217" t="s">
        <v>794</v>
      </c>
      <c r="C217" s="88">
        <v>44749</v>
      </c>
      <c r="D217" s="88" t="s">
        <v>963</v>
      </c>
      <c r="E217" t="s">
        <v>551</v>
      </c>
      <c r="F217" t="s">
        <v>16</v>
      </c>
      <c r="G217" t="s">
        <v>548</v>
      </c>
      <c r="H217" t="s">
        <v>960</v>
      </c>
      <c r="I217" t="s">
        <v>36</v>
      </c>
      <c r="J217" t="s">
        <v>152</v>
      </c>
      <c r="K217">
        <v>3</v>
      </c>
      <c r="L217">
        <v>2022</v>
      </c>
      <c r="M217" t="str">
        <f t="shared" si="4"/>
        <v>2022-2-ASB-LI-LE-3</v>
      </c>
    </row>
    <row r="218" spans="1:13" x14ac:dyDescent="0.2">
      <c r="A218" t="str">
        <f t="shared" si="5"/>
        <v>2023-2-ASB-LI-LE-4-16S</v>
      </c>
      <c r="B218" t="s">
        <v>1381</v>
      </c>
      <c r="C218" s="88">
        <v>44749</v>
      </c>
      <c r="D218" s="88" t="s">
        <v>963</v>
      </c>
      <c r="E218" t="s">
        <v>551</v>
      </c>
      <c r="F218" t="s">
        <v>16</v>
      </c>
      <c r="G218" t="s">
        <v>548</v>
      </c>
      <c r="H218" t="s">
        <v>960</v>
      </c>
      <c r="I218" t="s">
        <v>36</v>
      </c>
      <c r="J218" t="s">
        <v>152</v>
      </c>
      <c r="K218">
        <v>4</v>
      </c>
      <c r="L218">
        <v>2022</v>
      </c>
      <c r="M218" t="str">
        <f t="shared" si="4"/>
        <v>2022-2-ASB-LI-LE-4</v>
      </c>
    </row>
    <row r="219" spans="1:13" x14ac:dyDescent="0.2">
      <c r="A219" t="str">
        <f t="shared" si="5"/>
        <v>2023-2-ASB-LI-LE-5-16S</v>
      </c>
      <c r="B219" t="s">
        <v>1382</v>
      </c>
      <c r="C219" s="88">
        <v>44749</v>
      </c>
      <c r="D219" s="88" t="s">
        <v>963</v>
      </c>
      <c r="E219" t="s">
        <v>551</v>
      </c>
      <c r="F219" t="s">
        <v>16</v>
      </c>
      <c r="G219" t="s">
        <v>548</v>
      </c>
      <c r="H219" t="s">
        <v>960</v>
      </c>
      <c r="I219" t="s">
        <v>36</v>
      </c>
      <c r="J219" t="s">
        <v>152</v>
      </c>
      <c r="K219">
        <v>5</v>
      </c>
      <c r="L219">
        <v>2022</v>
      </c>
      <c r="M219" t="str">
        <f t="shared" si="4"/>
        <v>2022-2-ASB-LI-LE-5</v>
      </c>
    </row>
    <row r="220" spans="1:13" x14ac:dyDescent="0.2">
      <c r="A220" t="str">
        <f t="shared" si="5"/>
        <v>2023-2-ASB-CL-LE-1-16S</v>
      </c>
      <c r="B220" t="s">
        <v>785</v>
      </c>
      <c r="C220" s="88">
        <v>44749</v>
      </c>
      <c r="D220" s="88" t="s">
        <v>963</v>
      </c>
      <c r="E220" t="s">
        <v>551</v>
      </c>
      <c r="F220" t="s">
        <v>16</v>
      </c>
      <c r="G220" t="s">
        <v>548</v>
      </c>
      <c r="H220" t="s">
        <v>960</v>
      </c>
      <c r="I220" t="s">
        <v>43</v>
      </c>
      <c r="J220" t="s">
        <v>152</v>
      </c>
      <c r="K220">
        <v>1</v>
      </c>
      <c r="L220">
        <v>2022</v>
      </c>
      <c r="M220" t="str">
        <f t="shared" si="4"/>
        <v>2022-2-ASB-CL-LE-1</v>
      </c>
    </row>
    <row r="221" spans="1:13" x14ac:dyDescent="0.2">
      <c r="A221" t="str">
        <f t="shared" si="5"/>
        <v>2023-2-ASB-CL-LE-2-16S</v>
      </c>
      <c r="B221" t="s">
        <v>558</v>
      </c>
      <c r="C221" s="88">
        <v>44749</v>
      </c>
      <c r="D221" s="88" t="s">
        <v>963</v>
      </c>
      <c r="E221" t="s">
        <v>551</v>
      </c>
      <c r="F221" t="s">
        <v>16</v>
      </c>
      <c r="G221" t="s">
        <v>548</v>
      </c>
      <c r="H221" t="s">
        <v>960</v>
      </c>
      <c r="I221" t="s">
        <v>43</v>
      </c>
      <c r="J221" t="s">
        <v>152</v>
      </c>
      <c r="K221">
        <v>2</v>
      </c>
      <c r="L221">
        <v>2022</v>
      </c>
      <c r="M221" t="str">
        <f t="shared" si="4"/>
        <v>2022-2-ASB-CL-LE-2</v>
      </c>
    </row>
    <row r="222" spans="1:13" x14ac:dyDescent="0.2">
      <c r="A222" t="str">
        <f t="shared" si="5"/>
        <v>2023-2-ASB-CL-LE-3-16S</v>
      </c>
      <c r="B222" t="s">
        <v>786</v>
      </c>
      <c r="C222" s="88">
        <v>44749</v>
      </c>
      <c r="D222" s="88" t="s">
        <v>963</v>
      </c>
      <c r="E222" t="s">
        <v>551</v>
      </c>
      <c r="F222" t="s">
        <v>16</v>
      </c>
      <c r="G222" t="s">
        <v>548</v>
      </c>
      <c r="H222" t="s">
        <v>960</v>
      </c>
      <c r="I222" t="s">
        <v>43</v>
      </c>
      <c r="J222" t="s">
        <v>152</v>
      </c>
      <c r="K222">
        <v>3</v>
      </c>
      <c r="L222">
        <v>2022</v>
      </c>
      <c r="M222" t="str">
        <f t="shared" si="4"/>
        <v>2022-2-ASB-CL-LE-3</v>
      </c>
    </row>
    <row r="223" spans="1:13" x14ac:dyDescent="0.2">
      <c r="A223" t="str">
        <f t="shared" si="5"/>
        <v>2023-2-ASB-CL-LE-4-16S</v>
      </c>
      <c r="B223" t="s">
        <v>1383</v>
      </c>
      <c r="C223" s="88">
        <v>44749</v>
      </c>
      <c r="D223" s="88" t="s">
        <v>963</v>
      </c>
      <c r="E223" t="s">
        <v>551</v>
      </c>
      <c r="F223" t="s">
        <v>16</v>
      </c>
      <c r="G223" t="s">
        <v>548</v>
      </c>
      <c r="H223" t="s">
        <v>960</v>
      </c>
      <c r="I223" t="s">
        <v>43</v>
      </c>
      <c r="J223" t="s">
        <v>152</v>
      </c>
      <c r="K223">
        <v>4</v>
      </c>
      <c r="L223">
        <v>2022</v>
      </c>
      <c r="M223" t="str">
        <f t="shared" si="4"/>
        <v>2022-2-ASB-CL-LE-4</v>
      </c>
    </row>
    <row r="224" spans="1:13" x14ac:dyDescent="0.2">
      <c r="A224" t="str">
        <f t="shared" si="5"/>
        <v>2023-2-ASB-CL-LE-5-16S</v>
      </c>
      <c r="B224" t="s">
        <v>1384</v>
      </c>
      <c r="C224" s="88">
        <v>44749</v>
      </c>
      <c r="D224" s="88" t="s">
        <v>963</v>
      </c>
      <c r="E224" t="s">
        <v>551</v>
      </c>
      <c r="F224" t="s">
        <v>16</v>
      </c>
      <c r="G224" t="s">
        <v>548</v>
      </c>
      <c r="H224" t="s">
        <v>960</v>
      </c>
      <c r="I224" t="s">
        <v>43</v>
      </c>
      <c r="J224" t="s">
        <v>152</v>
      </c>
      <c r="K224">
        <v>5</v>
      </c>
      <c r="L224">
        <v>2022</v>
      </c>
      <c r="M224" t="str">
        <f t="shared" si="4"/>
        <v>2022-2-ASB-CL-LE-5</v>
      </c>
    </row>
    <row r="225" spans="1:13" x14ac:dyDescent="0.2">
      <c r="A225" t="str">
        <f t="shared" si="5"/>
        <v>2023-2-ASB-PR-LE-1-16S</v>
      </c>
      <c r="B225" t="s">
        <v>787</v>
      </c>
      <c r="C225" s="88">
        <v>44749</v>
      </c>
      <c r="D225" s="88" t="s">
        <v>963</v>
      </c>
      <c r="E225" t="s">
        <v>551</v>
      </c>
      <c r="F225" t="s">
        <v>16</v>
      </c>
      <c r="G225" t="s">
        <v>548</v>
      </c>
      <c r="H225" t="s">
        <v>960</v>
      </c>
      <c r="I225" t="s">
        <v>74</v>
      </c>
      <c r="J225" t="s">
        <v>152</v>
      </c>
      <c r="K225">
        <v>1</v>
      </c>
      <c r="L225">
        <v>2022</v>
      </c>
      <c r="M225" t="str">
        <f t="shared" si="4"/>
        <v>2022-2-ASB-PR-LE-1</v>
      </c>
    </row>
    <row r="226" spans="1:13" x14ac:dyDescent="0.2">
      <c r="A226" t="str">
        <f t="shared" si="5"/>
        <v>2023-2-ASB-PR-LE-2-16S</v>
      </c>
      <c r="B226" t="s">
        <v>566</v>
      </c>
      <c r="C226" s="88">
        <v>44749</v>
      </c>
      <c r="D226" s="88" t="s">
        <v>963</v>
      </c>
      <c r="E226" t="s">
        <v>551</v>
      </c>
      <c r="F226" t="s">
        <v>16</v>
      </c>
      <c r="G226" t="s">
        <v>548</v>
      </c>
      <c r="H226" t="s">
        <v>960</v>
      </c>
      <c r="I226" t="s">
        <v>74</v>
      </c>
      <c r="J226" t="s">
        <v>152</v>
      </c>
      <c r="K226">
        <v>2</v>
      </c>
      <c r="L226">
        <v>2022</v>
      </c>
      <c r="M226" t="str">
        <f t="shared" si="4"/>
        <v>2022-2-ASB-PR-LE-2</v>
      </c>
    </row>
    <row r="227" spans="1:13" x14ac:dyDescent="0.2">
      <c r="A227" t="str">
        <f t="shared" si="5"/>
        <v>2023-2-ASB-PR-LE-3-16S</v>
      </c>
      <c r="B227" t="s">
        <v>788</v>
      </c>
      <c r="C227" s="88">
        <v>44749</v>
      </c>
      <c r="D227" s="88" t="s">
        <v>963</v>
      </c>
      <c r="E227" t="s">
        <v>551</v>
      </c>
      <c r="F227" t="s">
        <v>16</v>
      </c>
      <c r="G227" t="s">
        <v>548</v>
      </c>
      <c r="H227" t="s">
        <v>960</v>
      </c>
      <c r="I227" t="s">
        <v>74</v>
      </c>
      <c r="J227" t="s">
        <v>152</v>
      </c>
      <c r="K227">
        <v>3</v>
      </c>
      <c r="L227">
        <v>2022</v>
      </c>
      <c r="M227" t="str">
        <f t="shared" si="4"/>
        <v>2022-2-ASB-PR-LE-3</v>
      </c>
    </row>
    <row r="228" spans="1:13" x14ac:dyDescent="0.2">
      <c r="A228" t="str">
        <f t="shared" si="5"/>
        <v>2023-2-ASB-PR-LE-4-16S</v>
      </c>
      <c r="B228" t="s">
        <v>1385</v>
      </c>
      <c r="C228" s="88">
        <v>44749</v>
      </c>
      <c r="D228" s="88" t="s">
        <v>963</v>
      </c>
      <c r="E228" t="s">
        <v>551</v>
      </c>
      <c r="F228" t="s">
        <v>16</v>
      </c>
      <c r="G228" t="s">
        <v>548</v>
      </c>
      <c r="H228" t="s">
        <v>960</v>
      </c>
      <c r="I228" t="s">
        <v>74</v>
      </c>
      <c r="J228" t="s">
        <v>152</v>
      </c>
      <c r="K228">
        <v>4</v>
      </c>
      <c r="L228">
        <v>2022</v>
      </c>
      <c r="M228" t="str">
        <f t="shared" si="4"/>
        <v>2022-2-ASB-PR-LE-4</v>
      </c>
    </row>
    <row r="229" spans="1:13" x14ac:dyDescent="0.2">
      <c r="A229" t="str">
        <f t="shared" si="5"/>
        <v>2023-2-ASB-PR-LE-5-16S</v>
      </c>
      <c r="B229" t="s">
        <v>1386</v>
      </c>
      <c r="C229" s="88">
        <v>44749</v>
      </c>
      <c r="D229" s="88" t="s">
        <v>963</v>
      </c>
      <c r="E229" t="s">
        <v>551</v>
      </c>
      <c r="F229" t="s">
        <v>16</v>
      </c>
      <c r="G229" t="s">
        <v>548</v>
      </c>
      <c r="H229" t="s">
        <v>960</v>
      </c>
      <c r="I229" t="s">
        <v>74</v>
      </c>
      <c r="J229" t="s">
        <v>152</v>
      </c>
      <c r="K229">
        <v>5</v>
      </c>
      <c r="L229">
        <v>2022</v>
      </c>
      <c r="M229" t="str">
        <f t="shared" si="4"/>
        <v>2022-2-ASB-PR-LE-5</v>
      </c>
    </row>
    <row r="230" spans="1:13" x14ac:dyDescent="0.2">
      <c r="A230" t="str">
        <f t="shared" si="5"/>
        <v>2023-2-VBS-LI-LE-1-16S</v>
      </c>
      <c r="B230" t="s">
        <v>827</v>
      </c>
      <c r="C230" s="88">
        <v>44749</v>
      </c>
      <c r="D230" s="88" t="s">
        <v>963</v>
      </c>
      <c r="E230" t="s">
        <v>549</v>
      </c>
      <c r="F230" t="s">
        <v>22</v>
      </c>
      <c r="G230" t="s">
        <v>547</v>
      </c>
      <c r="H230" t="s">
        <v>961</v>
      </c>
      <c r="I230" t="s">
        <v>36</v>
      </c>
      <c r="J230" t="s">
        <v>152</v>
      </c>
      <c r="K230">
        <v>1</v>
      </c>
      <c r="L230">
        <v>2022</v>
      </c>
      <c r="M230" t="str">
        <f t="shared" si="4"/>
        <v>2022-2-VBS-LI-LE-1</v>
      </c>
    </row>
    <row r="231" spans="1:13" x14ac:dyDescent="0.2">
      <c r="A231" t="str">
        <f t="shared" si="5"/>
        <v>2023-2-VBS-LI-LE-2-16S</v>
      </c>
      <c r="B231" t="s">
        <v>654</v>
      </c>
      <c r="C231" s="88">
        <v>44749</v>
      </c>
      <c r="D231" s="88" t="s">
        <v>963</v>
      </c>
      <c r="E231" t="s">
        <v>549</v>
      </c>
      <c r="F231" t="s">
        <v>22</v>
      </c>
      <c r="G231" t="s">
        <v>547</v>
      </c>
      <c r="H231" t="s">
        <v>961</v>
      </c>
      <c r="I231" t="s">
        <v>36</v>
      </c>
      <c r="J231" t="s">
        <v>152</v>
      </c>
      <c r="K231">
        <v>2</v>
      </c>
      <c r="L231">
        <v>2022</v>
      </c>
      <c r="M231" t="str">
        <f t="shared" si="4"/>
        <v>2022-2-VBS-LI-LE-2</v>
      </c>
    </row>
    <row r="232" spans="1:13" x14ac:dyDescent="0.2">
      <c r="A232" t="str">
        <f t="shared" si="5"/>
        <v>2023-2-VBS-LI-LE-3-16S</v>
      </c>
      <c r="B232" t="s">
        <v>828</v>
      </c>
      <c r="C232" s="88">
        <v>44749</v>
      </c>
      <c r="D232" s="88" t="s">
        <v>963</v>
      </c>
      <c r="E232" t="s">
        <v>549</v>
      </c>
      <c r="F232" t="s">
        <v>22</v>
      </c>
      <c r="G232" t="s">
        <v>547</v>
      </c>
      <c r="H232" t="s">
        <v>961</v>
      </c>
      <c r="I232" t="s">
        <v>36</v>
      </c>
      <c r="J232" t="s">
        <v>152</v>
      </c>
      <c r="K232">
        <v>3</v>
      </c>
      <c r="L232">
        <v>2022</v>
      </c>
      <c r="M232" t="str">
        <f t="shared" si="4"/>
        <v>2022-2-VBS-LI-LE-3</v>
      </c>
    </row>
    <row r="233" spans="1:13" x14ac:dyDescent="0.2">
      <c r="A233" t="str">
        <f t="shared" si="5"/>
        <v>2023-2-VBS-LI-LE-4-16S</v>
      </c>
      <c r="B233" t="s">
        <v>1387</v>
      </c>
      <c r="C233" s="88">
        <v>44749</v>
      </c>
      <c r="D233" s="88" t="s">
        <v>963</v>
      </c>
      <c r="E233" t="s">
        <v>549</v>
      </c>
      <c r="F233" t="s">
        <v>22</v>
      </c>
      <c r="G233" t="s">
        <v>547</v>
      </c>
      <c r="H233" t="s">
        <v>961</v>
      </c>
      <c r="I233" t="s">
        <v>36</v>
      </c>
      <c r="J233" t="s">
        <v>152</v>
      </c>
      <c r="K233">
        <v>4</v>
      </c>
      <c r="L233">
        <v>2022</v>
      </c>
      <c r="M233" t="str">
        <f t="shared" si="4"/>
        <v>2022-2-VBS-LI-LE-4</v>
      </c>
    </row>
    <row r="234" spans="1:13" x14ac:dyDescent="0.2">
      <c r="A234" t="str">
        <f t="shared" si="5"/>
        <v>2023-2-VBS-LI-LE-5-16S</v>
      </c>
      <c r="B234" t="s">
        <v>1388</v>
      </c>
      <c r="C234" s="88">
        <v>44749</v>
      </c>
      <c r="D234" s="88" t="s">
        <v>963</v>
      </c>
      <c r="E234" t="s">
        <v>549</v>
      </c>
      <c r="F234" t="s">
        <v>22</v>
      </c>
      <c r="G234" t="s">
        <v>547</v>
      </c>
      <c r="H234" t="s">
        <v>961</v>
      </c>
      <c r="I234" t="s">
        <v>36</v>
      </c>
      <c r="J234" t="s">
        <v>152</v>
      </c>
      <c r="K234">
        <v>5</v>
      </c>
      <c r="L234">
        <v>2022</v>
      </c>
      <c r="M234" t="str">
        <f t="shared" si="4"/>
        <v>2022-2-VBS-LI-LE-5</v>
      </c>
    </row>
    <row r="235" spans="1:13" x14ac:dyDescent="0.2">
      <c r="A235" t="str">
        <f t="shared" si="5"/>
        <v>2023-2-VBS-CL-LE-1-16S</v>
      </c>
      <c r="B235" t="s">
        <v>817</v>
      </c>
      <c r="C235" s="88">
        <v>44749</v>
      </c>
      <c r="D235" s="88" t="s">
        <v>963</v>
      </c>
      <c r="E235" t="s">
        <v>549</v>
      </c>
      <c r="F235" t="s">
        <v>22</v>
      </c>
      <c r="G235" t="s">
        <v>547</v>
      </c>
      <c r="H235" t="s">
        <v>961</v>
      </c>
      <c r="I235" t="s">
        <v>43</v>
      </c>
      <c r="J235" t="s">
        <v>152</v>
      </c>
      <c r="K235">
        <v>1</v>
      </c>
      <c r="L235">
        <v>2022</v>
      </c>
      <c r="M235" t="str">
        <f t="shared" si="4"/>
        <v>2022-2-VBS-CL-LE-1</v>
      </c>
    </row>
    <row r="236" spans="1:13" x14ac:dyDescent="0.2">
      <c r="A236" t="str">
        <f t="shared" si="5"/>
        <v>2023-2-VBS-CL-LE-2-16S</v>
      </c>
      <c r="B236" t="s">
        <v>723</v>
      </c>
      <c r="C236" s="88">
        <v>44749</v>
      </c>
      <c r="D236" s="88" t="s">
        <v>963</v>
      </c>
      <c r="E236" t="s">
        <v>549</v>
      </c>
      <c r="F236" t="s">
        <v>22</v>
      </c>
      <c r="G236" t="s">
        <v>547</v>
      </c>
      <c r="H236" t="s">
        <v>961</v>
      </c>
      <c r="I236" t="s">
        <v>43</v>
      </c>
      <c r="J236" t="s">
        <v>152</v>
      </c>
      <c r="K236">
        <v>2</v>
      </c>
      <c r="L236">
        <v>2022</v>
      </c>
      <c r="M236" t="str">
        <f t="shared" si="4"/>
        <v>2022-2-VBS-CL-LE-2</v>
      </c>
    </row>
    <row r="237" spans="1:13" x14ac:dyDescent="0.2">
      <c r="A237" t="str">
        <f t="shared" si="5"/>
        <v>2023-2-VBS-CL-LE-3-16S</v>
      </c>
      <c r="B237" t="s">
        <v>818</v>
      </c>
      <c r="C237" s="88">
        <v>44749</v>
      </c>
      <c r="D237" s="88" t="s">
        <v>963</v>
      </c>
      <c r="E237" t="s">
        <v>549</v>
      </c>
      <c r="F237" t="s">
        <v>22</v>
      </c>
      <c r="G237" t="s">
        <v>547</v>
      </c>
      <c r="H237" t="s">
        <v>961</v>
      </c>
      <c r="I237" t="s">
        <v>43</v>
      </c>
      <c r="J237" t="s">
        <v>152</v>
      </c>
      <c r="K237">
        <v>3</v>
      </c>
      <c r="L237">
        <v>2022</v>
      </c>
      <c r="M237" t="str">
        <f t="shared" si="4"/>
        <v>2022-2-VBS-CL-LE-3</v>
      </c>
    </row>
    <row r="238" spans="1:13" x14ac:dyDescent="0.2">
      <c r="A238" t="str">
        <f t="shared" si="5"/>
        <v>2023-2-VBS-CL-LE-4-16S</v>
      </c>
      <c r="B238" t="s">
        <v>1389</v>
      </c>
      <c r="C238" s="88">
        <v>44749</v>
      </c>
      <c r="D238" s="88" t="s">
        <v>963</v>
      </c>
      <c r="E238" t="s">
        <v>549</v>
      </c>
      <c r="F238" t="s">
        <v>22</v>
      </c>
      <c r="G238" t="s">
        <v>547</v>
      </c>
      <c r="H238" t="s">
        <v>961</v>
      </c>
      <c r="I238" t="s">
        <v>43</v>
      </c>
      <c r="J238" t="s">
        <v>152</v>
      </c>
      <c r="K238">
        <v>4</v>
      </c>
      <c r="L238">
        <v>2022</v>
      </c>
      <c r="M238" t="str">
        <f t="shared" si="4"/>
        <v>2022-2-VBS-CL-LE-4</v>
      </c>
    </row>
    <row r="239" spans="1:13" x14ac:dyDescent="0.2">
      <c r="A239" t="str">
        <f t="shared" si="5"/>
        <v>2023-2-VBS-CL-LE-5-16S</v>
      </c>
      <c r="B239" t="s">
        <v>1390</v>
      </c>
      <c r="C239" s="88">
        <v>44749</v>
      </c>
      <c r="D239" s="88" t="s">
        <v>963</v>
      </c>
      <c r="E239" t="s">
        <v>549</v>
      </c>
      <c r="F239" t="s">
        <v>22</v>
      </c>
      <c r="G239" t="s">
        <v>547</v>
      </c>
      <c r="H239" t="s">
        <v>961</v>
      </c>
      <c r="I239" t="s">
        <v>43</v>
      </c>
      <c r="J239" t="s">
        <v>152</v>
      </c>
      <c r="K239">
        <v>5</v>
      </c>
      <c r="L239">
        <v>2022</v>
      </c>
      <c r="M239" t="str">
        <f t="shared" ref="M239:M288" si="6">L239&amp;"-"&amp;B239</f>
        <v>2022-2-VBS-CL-LE-5</v>
      </c>
    </row>
    <row r="240" spans="1:13" x14ac:dyDescent="0.2">
      <c r="A240" t="str">
        <f t="shared" si="5"/>
        <v>2023-2-VBS-PR-LE-1-16S</v>
      </c>
      <c r="B240" t="s">
        <v>819</v>
      </c>
      <c r="C240" s="88">
        <v>44749</v>
      </c>
      <c r="D240" s="88" t="s">
        <v>963</v>
      </c>
      <c r="E240" t="s">
        <v>549</v>
      </c>
      <c r="F240" t="s">
        <v>22</v>
      </c>
      <c r="G240" t="s">
        <v>547</v>
      </c>
      <c r="H240" t="s">
        <v>961</v>
      </c>
      <c r="I240" t="s">
        <v>74</v>
      </c>
      <c r="J240" t="s">
        <v>152</v>
      </c>
      <c r="K240">
        <v>1</v>
      </c>
      <c r="L240">
        <v>2022</v>
      </c>
      <c r="M240" t="str">
        <f t="shared" si="6"/>
        <v>2022-2-VBS-PR-LE-1</v>
      </c>
    </row>
    <row r="241" spans="1:13" x14ac:dyDescent="0.2">
      <c r="A241" t="str">
        <f t="shared" si="5"/>
        <v>2023-2-VBS-PR-LE-2-16S</v>
      </c>
      <c r="B241" t="s">
        <v>731</v>
      </c>
      <c r="C241" s="88">
        <v>44749</v>
      </c>
      <c r="D241" s="88" t="s">
        <v>963</v>
      </c>
      <c r="E241" t="s">
        <v>549</v>
      </c>
      <c r="F241" t="s">
        <v>22</v>
      </c>
      <c r="G241" t="s">
        <v>547</v>
      </c>
      <c r="H241" t="s">
        <v>961</v>
      </c>
      <c r="I241" t="s">
        <v>74</v>
      </c>
      <c r="J241" t="s">
        <v>152</v>
      </c>
      <c r="K241">
        <v>2</v>
      </c>
      <c r="L241">
        <v>2022</v>
      </c>
      <c r="M241" t="str">
        <f t="shared" si="6"/>
        <v>2022-2-VBS-PR-LE-2</v>
      </c>
    </row>
    <row r="242" spans="1:13" x14ac:dyDescent="0.2">
      <c r="A242" t="str">
        <f t="shared" si="5"/>
        <v>2023-2-VBS-PR-LE-3-16S</v>
      </c>
      <c r="B242" t="s">
        <v>820</v>
      </c>
      <c r="C242" s="88">
        <v>44749</v>
      </c>
      <c r="D242" s="88" t="s">
        <v>963</v>
      </c>
      <c r="E242" t="s">
        <v>549</v>
      </c>
      <c r="F242" t="s">
        <v>22</v>
      </c>
      <c r="G242" t="s">
        <v>547</v>
      </c>
      <c r="H242" t="s">
        <v>961</v>
      </c>
      <c r="I242" t="s">
        <v>74</v>
      </c>
      <c r="J242" t="s">
        <v>152</v>
      </c>
      <c r="K242">
        <v>3</v>
      </c>
      <c r="L242">
        <v>2022</v>
      </c>
      <c r="M242" t="str">
        <f t="shared" si="6"/>
        <v>2022-2-VBS-PR-LE-3</v>
      </c>
    </row>
    <row r="243" spans="1:13" x14ac:dyDescent="0.2">
      <c r="A243" t="str">
        <f t="shared" si="5"/>
        <v>2023-2-VBS-PR-LE-4-16S</v>
      </c>
      <c r="B243" t="s">
        <v>1391</v>
      </c>
      <c r="C243" s="88">
        <v>44749</v>
      </c>
      <c r="D243" s="88" t="s">
        <v>963</v>
      </c>
      <c r="E243" t="s">
        <v>549</v>
      </c>
      <c r="F243" t="s">
        <v>22</v>
      </c>
      <c r="G243" t="s">
        <v>547</v>
      </c>
      <c r="H243" t="s">
        <v>961</v>
      </c>
      <c r="I243" t="s">
        <v>74</v>
      </c>
      <c r="J243" t="s">
        <v>152</v>
      </c>
      <c r="K243">
        <v>4</v>
      </c>
      <c r="L243">
        <v>2022</v>
      </c>
      <c r="M243" t="str">
        <f t="shared" si="6"/>
        <v>2022-2-VBS-PR-LE-4</v>
      </c>
    </row>
    <row r="244" spans="1:13" x14ac:dyDescent="0.2">
      <c r="A244" t="str">
        <f t="shared" si="5"/>
        <v>2023-2-VBS-PR-LE-5-16S</v>
      </c>
      <c r="B244" t="s">
        <v>1392</v>
      </c>
      <c r="C244" s="88">
        <v>44749</v>
      </c>
      <c r="D244" s="88" t="s">
        <v>963</v>
      </c>
      <c r="E244" t="s">
        <v>549</v>
      </c>
      <c r="F244" t="s">
        <v>22</v>
      </c>
      <c r="G244" t="s">
        <v>547</v>
      </c>
      <c r="H244" t="s">
        <v>961</v>
      </c>
      <c r="I244" t="s">
        <v>74</v>
      </c>
      <c r="J244" t="s">
        <v>152</v>
      </c>
      <c r="K244">
        <v>5</v>
      </c>
      <c r="L244">
        <v>2022</v>
      </c>
      <c r="M244" t="str">
        <f t="shared" si="6"/>
        <v>2022-2-VBS-PR-LE-5</v>
      </c>
    </row>
    <row r="245" spans="1:13" x14ac:dyDescent="0.2">
      <c r="A245" t="str">
        <f t="shared" si="5"/>
        <v>2023-3-PMB-LI-LE-1-16S</v>
      </c>
      <c r="B245" t="s">
        <v>871</v>
      </c>
      <c r="C245" s="88">
        <v>44788</v>
      </c>
      <c r="D245" s="88" t="s">
        <v>964</v>
      </c>
      <c r="E245" t="s">
        <v>8</v>
      </c>
      <c r="F245" t="s">
        <v>9</v>
      </c>
      <c r="G245" t="s">
        <v>545</v>
      </c>
      <c r="H245" t="s">
        <v>960</v>
      </c>
      <c r="I245" t="s">
        <v>36</v>
      </c>
      <c r="J245" t="s">
        <v>152</v>
      </c>
      <c r="K245">
        <v>1</v>
      </c>
      <c r="L245">
        <v>2022</v>
      </c>
      <c r="M245" t="str">
        <f t="shared" si="6"/>
        <v>2022-3-PMB-LI-LE-1</v>
      </c>
    </row>
    <row r="246" spans="1:13" x14ac:dyDescent="0.2">
      <c r="A246" t="str">
        <f t="shared" si="5"/>
        <v>2023-3-PMB-LI-LE-2-16S</v>
      </c>
      <c r="B246" t="s">
        <v>872</v>
      </c>
      <c r="C246" s="88">
        <v>44788</v>
      </c>
      <c r="D246" s="88" t="s">
        <v>964</v>
      </c>
      <c r="E246" t="s">
        <v>8</v>
      </c>
      <c r="F246" t="s">
        <v>9</v>
      </c>
      <c r="G246" t="s">
        <v>545</v>
      </c>
      <c r="H246" t="s">
        <v>960</v>
      </c>
      <c r="I246" t="s">
        <v>36</v>
      </c>
      <c r="J246" t="s">
        <v>152</v>
      </c>
      <c r="K246">
        <v>2</v>
      </c>
      <c r="L246">
        <v>2022</v>
      </c>
      <c r="M246" t="str">
        <f t="shared" si="6"/>
        <v>2022-3-PMB-LI-LE-2</v>
      </c>
    </row>
    <row r="247" spans="1:13" x14ac:dyDescent="0.2">
      <c r="A247" t="str">
        <f t="shared" si="5"/>
        <v>2023-3-PMB-LI-LE-3-16S</v>
      </c>
      <c r="B247" t="s">
        <v>635</v>
      </c>
      <c r="C247" s="88">
        <v>44788</v>
      </c>
      <c r="D247" s="88" t="s">
        <v>964</v>
      </c>
      <c r="E247" t="s">
        <v>8</v>
      </c>
      <c r="F247" t="s">
        <v>9</v>
      </c>
      <c r="G247" t="s">
        <v>545</v>
      </c>
      <c r="H247" t="s">
        <v>960</v>
      </c>
      <c r="I247" t="s">
        <v>36</v>
      </c>
      <c r="J247" t="s">
        <v>152</v>
      </c>
      <c r="K247">
        <v>3</v>
      </c>
      <c r="L247">
        <v>2022</v>
      </c>
      <c r="M247" t="str">
        <f t="shared" si="6"/>
        <v>2022-3-PMB-LI-LE-3</v>
      </c>
    </row>
    <row r="248" spans="1:13" x14ac:dyDescent="0.2">
      <c r="A248" t="str">
        <f t="shared" si="5"/>
        <v>2023-3-PMB-LI-LE-4-16S</v>
      </c>
      <c r="B248" t="s">
        <v>1393</v>
      </c>
      <c r="C248" s="88">
        <v>44788</v>
      </c>
      <c r="D248" s="88" t="s">
        <v>964</v>
      </c>
      <c r="E248" t="s">
        <v>8</v>
      </c>
      <c r="F248" t="s">
        <v>9</v>
      </c>
      <c r="G248" t="s">
        <v>545</v>
      </c>
      <c r="H248" t="s">
        <v>960</v>
      </c>
      <c r="I248" t="s">
        <v>36</v>
      </c>
      <c r="J248" t="s">
        <v>152</v>
      </c>
      <c r="K248">
        <v>4</v>
      </c>
      <c r="L248">
        <v>2022</v>
      </c>
      <c r="M248" t="str">
        <f t="shared" si="6"/>
        <v>2022-3-PMB-LI-LE-4</v>
      </c>
    </row>
    <row r="249" spans="1:13" x14ac:dyDescent="0.2">
      <c r="A249" t="str">
        <f t="shared" si="5"/>
        <v>2023-3-PMB-LI-LE-5-16S</v>
      </c>
      <c r="B249" t="s">
        <v>1394</v>
      </c>
      <c r="C249" s="88">
        <v>44788</v>
      </c>
      <c r="D249" s="88" t="s">
        <v>964</v>
      </c>
      <c r="E249" t="s">
        <v>8</v>
      </c>
      <c r="F249" t="s">
        <v>9</v>
      </c>
      <c r="G249" t="s">
        <v>545</v>
      </c>
      <c r="H249" t="s">
        <v>960</v>
      </c>
      <c r="I249" t="s">
        <v>36</v>
      </c>
      <c r="J249" t="s">
        <v>152</v>
      </c>
      <c r="K249">
        <v>5</v>
      </c>
      <c r="L249">
        <v>2022</v>
      </c>
      <c r="M249" t="str">
        <f t="shared" si="6"/>
        <v>2022-3-PMB-LI-LE-5</v>
      </c>
    </row>
    <row r="250" spans="1:13" x14ac:dyDescent="0.2">
      <c r="A250" t="str">
        <f t="shared" si="5"/>
        <v>2023-3-PMB-CL-LE-1-16S</v>
      </c>
      <c r="B250" t="s">
        <v>863</v>
      </c>
      <c r="C250" s="88">
        <v>44788</v>
      </c>
      <c r="D250" s="88" t="s">
        <v>964</v>
      </c>
      <c r="E250" t="s">
        <v>8</v>
      </c>
      <c r="F250" t="s">
        <v>9</v>
      </c>
      <c r="G250" t="s">
        <v>545</v>
      </c>
      <c r="H250" t="s">
        <v>960</v>
      </c>
      <c r="I250" t="s">
        <v>43</v>
      </c>
      <c r="J250" t="s">
        <v>152</v>
      </c>
      <c r="K250">
        <v>1</v>
      </c>
      <c r="L250">
        <v>2022</v>
      </c>
      <c r="M250" t="str">
        <f t="shared" si="6"/>
        <v>2022-3-PMB-CL-LE-1</v>
      </c>
    </row>
    <row r="251" spans="1:13" x14ac:dyDescent="0.2">
      <c r="A251" t="str">
        <f t="shared" si="5"/>
        <v>2023-3-PMB-CL-LE-2-16S</v>
      </c>
      <c r="B251" t="s">
        <v>864</v>
      </c>
      <c r="C251" s="88">
        <v>44788</v>
      </c>
      <c r="D251" s="88" t="s">
        <v>964</v>
      </c>
      <c r="E251" t="s">
        <v>8</v>
      </c>
      <c r="F251" t="s">
        <v>9</v>
      </c>
      <c r="G251" t="s">
        <v>545</v>
      </c>
      <c r="H251" t="s">
        <v>960</v>
      </c>
      <c r="I251" t="s">
        <v>43</v>
      </c>
      <c r="J251" t="s">
        <v>152</v>
      </c>
      <c r="K251">
        <v>2</v>
      </c>
      <c r="L251">
        <v>2022</v>
      </c>
      <c r="M251" t="str">
        <f t="shared" si="6"/>
        <v>2022-3-PMB-CL-LE-2</v>
      </c>
    </row>
    <row r="252" spans="1:13" x14ac:dyDescent="0.2">
      <c r="A252" t="str">
        <f t="shared" si="5"/>
        <v>2023-3-PMB-CL-LE-3-16S</v>
      </c>
      <c r="B252" t="s">
        <v>607</v>
      </c>
      <c r="C252" s="88">
        <v>44788</v>
      </c>
      <c r="D252" s="88" t="s">
        <v>964</v>
      </c>
      <c r="E252" t="s">
        <v>8</v>
      </c>
      <c r="F252" t="s">
        <v>9</v>
      </c>
      <c r="G252" t="s">
        <v>545</v>
      </c>
      <c r="H252" t="s">
        <v>960</v>
      </c>
      <c r="I252" t="s">
        <v>43</v>
      </c>
      <c r="J252" t="s">
        <v>152</v>
      </c>
      <c r="K252">
        <v>3</v>
      </c>
      <c r="L252">
        <v>2022</v>
      </c>
      <c r="M252" t="str">
        <f t="shared" si="6"/>
        <v>2022-3-PMB-CL-LE-3</v>
      </c>
    </row>
    <row r="253" spans="1:13" x14ac:dyDescent="0.2">
      <c r="A253" t="str">
        <f t="shared" si="5"/>
        <v>2023-3-PMB-CL-LE-4-16S</v>
      </c>
      <c r="B253" t="s">
        <v>1395</v>
      </c>
      <c r="C253" s="88">
        <v>44788</v>
      </c>
      <c r="D253" s="88" t="s">
        <v>964</v>
      </c>
      <c r="E253" t="s">
        <v>8</v>
      </c>
      <c r="F253" t="s">
        <v>9</v>
      </c>
      <c r="G253" t="s">
        <v>545</v>
      </c>
      <c r="H253" t="s">
        <v>960</v>
      </c>
      <c r="I253" t="s">
        <v>43</v>
      </c>
      <c r="J253" t="s">
        <v>152</v>
      </c>
      <c r="K253">
        <v>4</v>
      </c>
      <c r="L253">
        <v>2022</v>
      </c>
      <c r="M253" t="str">
        <f t="shared" si="6"/>
        <v>2022-3-PMB-CL-LE-4</v>
      </c>
    </row>
    <row r="254" spans="1:13" x14ac:dyDescent="0.2">
      <c r="A254" t="str">
        <f t="shared" si="5"/>
        <v>2023-3-PMB-CL-LE-5-16S</v>
      </c>
      <c r="B254" t="s">
        <v>1396</v>
      </c>
      <c r="C254" s="88">
        <v>44788</v>
      </c>
      <c r="D254" s="88" t="s">
        <v>964</v>
      </c>
      <c r="E254" t="s">
        <v>8</v>
      </c>
      <c r="F254" t="s">
        <v>9</v>
      </c>
      <c r="G254" t="s">
        <v>545</v>
      </c>
      <c r="H254" t="s">
        <v>960</v>
      </c>
      <c r="I254" t="s">
        <v>43</v>
      </c>
      <c r="J254" t="s">
        <v>152</v>
      </c>
      <c r="K254">
        <v>5</v>
      </c>
      <c r="L254">
        <v>2022</v>
      </c>
      <c r="M254" t="str">
        <f t="shared" si="6"/>
        <v>2022-3-PMB-CL-LE-5</v>
      </c>
    </row>
    <row r="255" spans="1:13" x14ac:dyDescent="0.2">
      <c r="A255" t="str">
        <f t="shared" si="5"/>
        <v>2023-3-PMB-PR-LE-1-16S</v>
      </c>
      <c r="B255" t="s">
        <v>865</v>
      </c>
      <c r="C255" s="88">
        <v>44788</v>
      </c>
      <c r="D255" s="88" t="s">
        <v>964</v>
      </c>
      <c r="E255" t="s">
        <v>8</v>
      </c>
      <c r="F255" t="s">
        <v>9</v>
      </c>
      <c r="G255" t="s">
        <v>545</v>
      </c>
      <c r="H255" t="s">
        <v>960</v>
      </c>
      <c r="I255" t="s">
        <v>74</v>
      </c>
      <c r="J255" t="s">
        <v>152</v>
      </c>
      <c r="K255">
        <v>1</v>
      </c>
      <c r="L255">
        <v>2022</v>
      </c>
      <c r="M255" t="str">
        <f t="shared" si="6"/>
        <v>2022-3-PMB-PR-LE-1</v>
      </c>
    </row>
    <row r="256" spans="1:13" x14ac:dyDescent="0.2">
      <c r="A256" t="str">
        <f t="shared" si="5"/>
        <v>2023-3-PMB-PR-LE-2-16S</v>
      </c>
      <c r="B256" t="s">
        <v>866</v>
      </c>
      <c r="C256" s="88">
        <v>44788</v>
      </c>
      <c r="D256" s="88" t="s">
        <v>964</v>
      </c>
      <c r="E256" t="s">
        <v>8</v>
      </c>
      <c r="F256" t="s">
        <v>9</v>
      </c>
      <c r="G256" t="s">
        <v>545</v>
      </c>
      <c r="H256" t="s">
        <v>960</v>
      </c>
      <c r="I256" t="s">
        <v>74</v>
      </c>
      <c r="J256" t="s">
        <v>152</v>
      </c>
      <c r="K256">
        <v>2</v>
      </c>
      <c r="L256">
        <v>2022</v>
      </c>
      <c r="M256" t="str">
        <f t="shared" si="6"/>
        <v>2022-3-PMB-PR-LE-2</v>
      </c>
    </row>
    <row r="257" spans="1:13" x14ac:dyDescent="0.2">
      <c r="A257" t="str">
        <f t="shared" si="5"/>
        <v>2023-3-PMB-PR-LE-3-16S</v>
      </c>
      <c r="B257" t="s">
        <v>614</v>
      </c>
      <c r="C257" s="88">
        <v>44788</v>
      </c>
      <c r="D257" s="88" t="s">
        <v>964</v>
      </c>
      <c r="E257" t="s">
        <v>8</v>
      </c>
      <c r="F257" t="s">
        <v>9</v>
      </c>
      <c r="G257" t="s">
        <v>545</v>
      </c>
      <c r="H257" t="s">
        <v>960</v>
      </c>
      <c r="I257" t="s">
        <v>74</v>
      </c>
      <c r="J257" t="s">
        <v>152</v>
      </c>
      <c r="K257">
        <v>3</v>
      </c>
      <c r="L257">
        <v>2022</v>
      </c>
      <c r="M257" t="str">
        <f t="shared" si="6"/>
        <v>2022-3-PMB-PR-LE-3</v>
      </c>
    </row>
    <row r="258" spans="1:13" x14ac:dyDescent="0.2">
      <c r="A258" t="str">
        <f t="shared" si="5"/>
        <v>2023-3-PMB-PR-LE-4-16S</v>
      </c>
      <c r="B258" t="s">
        <v>1397</v>
      </c>
      <c r="C258" s="88">
        <v>44788</v>
      </c>
      <c r="D258" s="88" t="s">
        <v>964</v>
      </c>
      <c r="E258" t="s">
        <v>8</v>
      </c>
      <c r="F258" t="s">
        <v>9</v>
      </c>
      <c r="G258" t="s">
        <v>545</v>
      </c>
      <c r="H258" t="s">
        <v>960</v>
      </c>
      <c r="I258" t="s">
        <v>74</v>
      </c>
      <c r="J258" t="s">
        <v>152</v>
      </c>
      <c r="K258">
        <v>4</v>
      </c>
      <c r="L258">
        <v>2022</v>
      </c>
      <c r="M258" t="str">
        <f t="shared" si="6"/>
        <v>2022-3-PMB-PR-LE-4</v>
      </c>
    </row>
    <row r="259" spans="1:13" x14ac:dyDescent="0.2">
      <c r="A259" t="str">
        <f t="shared" ref="A259:A288" si="7" xml:space="preserve"> "2023-" &amp; B259&amp;"-16S"</f>
        <v>2023-3-PMB-PR-LE-5-16S</v>
      </c>
      <c r="B259" t="s">
        <v>1398</v>
      </c>
      <c r="C259" s="88">
        <v>44788</v>
      </c>
      <c r="D259" s="88" t="s">
        <v>964</v>
      </c>
      <c r="E259" t="s">
        <v>8</v>
      </c>
      <c r="F259" t="s">
        <v>9</v>
      </c>
      <c r="G259" t="s">
        <v>545</v>
      </c>
      <c r="H259" t="s">
        <v>960</v>
      </c>
      <c r="I259" t="s">
        <v>74</v>
      </c>
      <c r="J259" t="s">
        <v>152</v>
      </c>
      <c r="K259">
        <v>5</v>
      </c>
      <c r="L259">
        <v>2022</v>
      </c>
      <c r="M259" t="str">
        <f t="shared" si="6"/>
        <v>2022-3-PMB-PR-LE-5</v>
      </c>
    </row>
    <row r="260" spans="1:13" x14ac:dyDescent="0.2">
      <c r="A260" t="str">
        <f t="shared" si="7"/>
        <v>2023-3-ASB-LI-LE-1-16S</v>
      </c>
      <c r="B260" t="s">
        <v>859</v>
      </c>
      <c r="C260" s="88">
        <v>44789</v>
      </c>
      <c r="D260" s="88" t="s">
        <v>964</v>
      </c>
      <c r="E260" t="s">
        <v>551</v>
      </c>
      <c r="F260" t="s">
        <v>16</v>
      </c>
      <c r="G260" t="s">
        <v>548</v>
      </c>
      <c r="H260" t="s">
        <v>960</v>
      </c>
      <c r="I260" t="s">
        <v>36</v>
      </c>
      <c r="J260" t="s">
        <v>152</v>
      </c>
      <c r="K260">
        <v>1</v>
      </c>
      <c r="L260">
        <v>2022</v>
      </c>
      <c r="M260" t="str">
        <f t="shared" si="6"/>
        <v>2022-3-ASB-LI-LE-1</v>
      </c>
    </row>
    <row r="261" spans="1:13" x14ac:dyDescent="0.2">
      <c r="A261" t="str">
        <f t="shared" si="7"/>
        <v>2023-3-ASB-LI-LE-2-16S</v>
      </c>
      <c r="B261" t="s">
        <v>860</v>
      </c>
      <c r="C261" s="88">
        <v>44789</v>
      </c>
      <c r="D261" s="88" t="s">
        <v>964</v>
      </c>
      <c r="E261" t="s">
        <v>551</v>
      </c>
      <c r="F261" t="s">
        <v>16</v>
      </c>
      <c r="G261" t="s">
        <v>548</v>
      </c>
      <c r="H261" t="s">
        <v>960</v>
      </c>
      <c r="I261" t="s">
        <v>36</v>
      </c>
      <c r="J261" t="s">
        <v>152</v>
      </c>
      <c r="K261">
        <v>2</v>
      </c>
      <c r="L261">
        <v>2022</v>
      </c>
      <c r="M261" t="str">
        <f t="shared" si="6"/>
        <v>2022-3-ASB-LI-LE-2</v>
      </c>
    </row>
    <row r="262" spans="1:13" x14ac:dyDescent="0.2">
      <c r="A262" t="str">
        <f t="shared" si="7"/>
        <v>2023-3-ASB-LI-LE-3-16S</v>
      </c>
      <c r="B262" t="s">
        <v>587</v>
      </c>
      <c r="C262" s="88">
        <v>44789</v>
      </c>
      <c r="D262" s="88" t="s">
        <v>964</v>
      </c>
      <c r="E262" t="s">
        <v>551</v>
      </c>
      <c r="F262" t="s">
        <v>16</v>
      </c>
      <c r="G262" t="s">
        <v>548</v>
      </c>
      <c r="H262" t="s">
        <v>960</v>
      </c>
      <c r="I262" t="s">
        <v>36</v>
      </c>
      <c r="J262" t="s">
        <v>152</v>
      </c>
      <c r="K262">
        <v>3</v>
      </c>
      <c r="L262">
        <v>2022</v>
      </c>
      <c r="M262" t="str">
        <f t="shared" si="6"/>
        <v>2022-3-ASB-LI-LE-3</v>
      </c>
    </row>
    <row r="263" spans="1:13" x14ac:dyDescent="0.2">
      <c r="A263" t="str">
        <f t="shared" si="7"/>
        <v>2023-3-ASB-LI-LE-4-16S</v>
      </c>
      <c r="B263" t="s">
        <v>1399</v>
      </c>
      <c r="C263" s="88">
        <v>44789</v>
      </c>
      <c r="D263" s="88" t="s">
        <v>964</v>
      </c>
      <c r="E263" t="s">
        <v>551</v>
      </c>
      <c r="F263" t="s">
        <v>16</v>
      </c>
      <c r="G263" t="s">
        <v>548</v>
      </c>
      <c r="H263" t="s">
        <v>960</v>
      </c>
      <c r="I263" t="s">
        <v>36</v>
      </c>
      <c r="J263" t="s">
        <v>152</v>
      </c>
      <c r="K263">
        <v>4</v>
      </c>
      <c r="L263">
        <v>2022</v>
      </c>
      <c r="M263" t="str">
        <f t="shared" si="6"/>
        <v>2022-3-ASB-LI-LE-4</v>
      </c>
    </row>
    <row r="264" spans="1:13" x14ac:dyDescent="0.2">
      <c r="A264" t="str">
        <f t="shared" si="7"/>
        <v>2023-3-ASB-LI-LE-5-16S</v>
      </c>
      <c r="B264" t="s">
        <v>1400</v>
      </c>
      <c r="C264" s="88">
        <v>44789</v>
      </c>
      <c r="D264" s="88" t="s">
        <v>964</v>
      </c>
      <c r="E264" t="s">
        <v>551</v>
      </c>
      <c r="F264" t="s">
        <v>16</v>
      </c>
      <c r="G264" t="s">
        <v>548</v>
      </c>
      <c r="H264" t="s">
        <v>960</v>
      </c>
      <c r="I264" t="s">
        <v>36</v>
      </c>
      <c r="J264" t="s">
        <v>152</v>
      </c>
      <c r="K264">
        <v>5</v>
      </c>
      <c r="L264">
        <v>2022</v>
      </c>
      <c r="M264" t="str">
        <f t="shared" si="6"/>
        <v>2022-3-ASB-LI-LE-5</v>
      </c>
    </row>
    <row r="265" spans="1:13" x14ac:dyDescent="0.2">
      <c r="A265" t="str">
        <f t="shared" si="7"/>
        <v>2023-3-ASB-CL-LE-1-16S</v>
      </c>
      <c r="B265" t="s">
        <v>851</v>
      </c>
      <c r="C265" s="88">
        <v>44789</v>
      </c>
      <c r="D265" s="88" t="s">
        <v>964</v>
      </c>
      <c r="E265" t="s">
        <v>551</v>
      </c>
      <c r="F265" t="s">
        <v>16</v>
      </c>
      <c r="G265" t="s">
        <v>548</v>
      </c>
      <c r="H265" t="s">
        <v>960</v>
      </c>
      <c r="I265" t="s">
        <v>43</v>
      </c>
      <c r="J265" t="s">
        <v>152</v>
      </c>
      <c r="K265">
        <v>1</v>
      </c>
      <c r="L265">
        <v>2022</v>
      </c>
      <c r="M265" t="str">
        <f t="shared" si="6"/>
        <v>2022-3-ASB-CL-LE-1</v>
      </c>
    </row>
    <row r="266" spans="1:13" x14ac:dyDescent="0.2">
      <c r="A266" t="str">
        <f t="shared" si="7"/>
        <v>2023-3-ASB-CL-LE-2-16S</v>
      </c>
      <c r="B266" t="s">
        <v>852</v>
      </c>
      <c r="C266" s="88">
        <v>44789</v>
      </c>
      <c r="D266" s="88" t="s">
        <v>964</v>
      </c>
      <c r="E266" t="s">
        <v>551</v>
      </c>
      <c r="F266" t="s">
        <v>16</v>
      </c>
      <c r="G266" t="s">
        <v>548</v>
      </c>
      <c r="H266" t="s">
        <v>960</v>
      </c>
      <c r="I266" t="s">
        <v>43</v>
      </c>
      <c r="J266" t="s">
        <v>152</v>
      </c>
      <c r="K266">
        <v>2</v>
      </c>
      <c r="L266">
        <v>2022</v>
      </c>
      <c r="M266" t="str">
        <f t="shared" si="6"/>
        <v>2022-3-ASB-CL-LE-2</v>
      </c>
    </row>
    <row r="267" spans="1:13" x14ac:dyDescent="0.2">
      <c r="A267" t="str">
        <f t="shared" si="7"/>
        <v>2023-3-ASB-CL-LE-3-16S</v>
      </c>
      <c r="B267" t="s">
        <v>559</v>
      </c>
      <c r="C267" s="88">
        <v>44789</v>
      </c>
      <c r="D267" s="88" t="s">
        <v>964</v>
      </c>
      <c r="E267" t="s">
        <v>551</v>
      </c>
      <c r="F267" t="s">
        <v>16</v>
      </c>
      <c r="G267" t="s">
        <v>548</v>
      </c>
      <c r="H267" t="s">
        <v>960</v>
      </c>
      <c r="I267" t="s">
        <v>43</v>
      </c>
      <c r="J267" t="s">
        <v>152</v>
      </c>
      <c r="K267">
        <v>3</v>
      </c>
      <c r="L267">
        <v>2022</v>
      </c>
      <c r="M267" t="str">
        <f t="shared" si="6"/>
        <v>2022-3-ASB-CL-LE-3</v>
      </c>
    </row>
    <row r="268" spans="1:13" x14ac:dyDescent="0.2">
      <c r="A268" t="str">
        <f t="shared" si="7"/>
        <v>2023-3-ASB-CL-LE-4-16S</v>
      </c>
      <c r="B268" t="s">
        <v>1401</v>
      </c>
      <c r="C268" s="88">
        <v>44789</v>
      </c>
      <c r="D268" s="88" t="s">
        <v>964</v>
      </c>
      <c r="E268" t="s">
        <v>551</v>
      </c>
      <c r="F268" t="s">
        <v>16</v>
      </c>
      <c r="G268" t="s">
        <v>548</v>
      </c>
      <c r="H268" t="s">
        <v>960</v>
      </c>
      <c r="I268" t="s">
        <v>43</v>
      </c>
      <c r="J268" t="s">
        <v>152</v>
      </c>
      <c r="K268">
        <v>4</v>
      </c>
      <c r="L268">
        <v>2022</v>
      </c>
      <c r="M268" t="str">
        <f t="shared" si="6"/>
        <v>2022-3-ASB-CL-LE-4</v>
      </c>
    </row>
    <row r="269" spans="1:13" x14ac:dyDescent="0.2">
      <c r="A269" t="str">
        <f t="shared" si="7"/>
        <v>2023-3-ASB-CL-LE-5-16S</v>
      </c>
      <c r="B269" t="s">
        <v>1402</v>
      </c>
      <c r="C269" s="88">
        <v>44789</v>
      </c>
      <c r="D269" s="88" t="s">
        <v>964</v>
      </c>
      <c r="E269" t="s">
        <v>551</v>
      </c>
      <c r="F269" t="s">
        <v>16</v>
      </c>
      <c r="G269" t="s">
        <v>548</v>
      </c>
      <c r="H269" t="s">
        <v>960</v>
      </c>
      <c r="I269" t="s">
        <v>43</v>
      </c>
      <c r="J269" t="s">
        <v>152</v>
      </c>
      <c r="K269">
        <v>5</v>
      </c>
      <c r="L269">
        <v>2022</v>
      </c>
      <c r="M269" t="str">
        <f t="shared" si="6"/>
        <v>2022-3-ASB-CL-LE-5</v>
      </c>
    </row>
    <row r="270" spans="1:13" x14ac:dyDescent="0.2">
      <c r="A270" t="str">
        <f t="shared" si="7"/>
        <v>2023-3-ASB-PR-LE-1-16S</v>
      </c>
      <c r="B270" t="s">
        <v>853</v>
      </c>
      <c r="C270" s="88">
        <v>44789</v>
      </c>
      <c r="D270" s="88" t="s">
        <v>964</v>
      </c>
      <c r="E270" t="s">
        <v>551</v>
      </c>
      <c r="F270" t="s">
        <v>16</v>
      </c>
      <c r="G270" t="s">
        <v>548</v>
      </c>
      <c r="H270" t="s">
        <v>960</v>
      </c>
      <c r="I270" t="s">
        <v>74</v>
      </c>
      <c r="J270" t="s">
        <v>152</v>
      </c>
      <c r="K270">
        <v>1</v>
      </c>
      <c r="L270">
        <v>2022</v>
      </c>
      <c r="M270" t="str">
        <f t="shared" si="6"/>
        <v>2022-3-ASB-PR-LE-1</v>
      </c>
    </row>
    <row r="271" spans="1:13" x14ac:dyDescent="0.2">
      <c r="A271" t="str">
        <f t="shared" si="7"/>
        <v>2023-3-ASB-PR-LE-2-16S</v>
      </c>
      <c r="B271" t="s">
        <v>854</v>
      </c>
      <c r="C271" s="88">
        <v>44789</v>
      </c>
      <c r="D271" s="88" t="s">
        <v>964</v>
      </c>
      <c r="E271" t="s">
        <v>551</v>
      </c>
      <c r="F271" t="s">
        <v>16</v>
      </c>
      <c r="G271" t="s">
        <v>548</v>
      </c>
      <c r="H271" t="s">
        <v>960</v>
      </c>
      <c r="I271" t="s">
        <v>74</v>
      </c>
      <c r="J271" t="s">
        <v>152</v>
      </c>
      <c r="K271">
        <v>2</v>
      </c>
      <c r="L271">
        <v>2022</v>
      </c>
      <c r="M271" t="str">
        <f t="shared" si="6"/>
        <v>2022-3-ASB-PR-LE-2</v>
      </c>
    </row>
    <row r="272" spans="1:13" x14ac:dyDescent="0.2">
      <c r="A272" t="str">
        <f t="shared" si="7"/>
        <v>2023-3-ASB-PR-LE-3-16S</v>
      </c>
      <c r="B272" t="s">
        <v>567</v>
      </c>
      <c r="C272" s="88">
        <v>44789</v>
      </c>
      <c r="D272" s="88" t="s">
        <v>964</v>
      </c>
      <c r="E272" t="s">
        <v>551</v>
      </c>
      <c r="F272" t="s">
        <v>16</v>
      </c>
      <c r="G272" t="s">
        <v>548</v>
      </c>
      <c r="H272" t="s">
        <v>960</v>
      </c>
      <c r="I272" t="s">
        <v>74</v>
      </c>
      <c r="J272" t="s">
        <v>152</v>
      </c>
      <c r="K272">
        <v>3</v>
      </c>
      <c r="L272">
        <v>2022</v>
      </c>
      <c r="M272" t="str">
        <f t="shared" si="6"/>
        <v>2022-3-ASB-PR-LE-3</v>
      </c>
    </row>
    <row r="273" spans="1:13" x14ac:dyDescent="0.2">
      <c r="A273" t="str">
        <f t="shared" si="7"/>
        <v>2023-3-ASB-PR-LE-4-16S</v>
      </c>
      <c r="B273" t="s">
        <v>1403</v>
      </c>
      <c r="C273" s="88">
        <v>44789</v>
      </c>
      <c r="D273" s="88" t="s">
        <v>964</v>
      </c>
      <c r="E273" t="s">
        <v>551</v>
      </c>
      <c r="F273" t="s">
        <v>16</v>
      </c>
      <c r="G273" t="s">
        <v>548</v>
      </c>
      <c r="H273" t="s">
        <v>960</v>
      </c>
      <c r="I273" t="s">
        <v>74</v>
      </c>
      <c r="J273" t="s">
        <v>152</v>
      </c>
      <c r="K273">
        <v>4</v>
      </c>
      <c r="L273">
        <v>2022</v>
      </c>
      <c r="M273" t="str">
        <f t="shared" si="6"/>
        <v>2022-3-ASB-PR-LE-4</v>
      </c>
    </row>
    <row r="274" spans="1:13" x14ac:dyDescent="0.2">
      <c r="A274" t="str">
        <f t="shared" si="7"/>
        <v>2023-3-ASB-PR-LE-5-16S</v>
      </c>
      <c r="B274" t="s">
        <v>1404</v>
      </c>
      <c r="C274" s="88">
        <v>44789</v>
      </c>
      <c r="D274" s="88" t="s">
        <v>964</v>
      </c>
      <c r="E274" t="s">
        <v>551</v>
      </c>
      <c r="F274" t="s">
        <v>16</v>
      </c>
      <c r="G274" t="s">
        <v>548</v>
      </c>
      <c r="H274" t="s">
        <v>960</v>
      </c>
      <c r="I274" t="s">
        <v>74</v>
      </c>
      <c r="J274" t="s">
        <v>152</v>
      </c>
      <c r="K274">
        <v>5</v>
      </c>
      <c r="L274">
        <v>2022</v>
      </c>
      <c r="M274" t="str">
        <f t="shared" si="6"/>
        <v>2022-3-ASB-PR-LE-5</v>
      </c>
    </row>
    <row r="275" spans="1:13" x14ac:dyDescent="0.2">
      <c r="A275" t="str">
        <f t="shared" si="7"/>
        <v>2023-3-VBS-LI-LE-1-16S</v>
      </c>
      <c r="B275" t="s">
        <v>893</v>
      </c>
      <c r="C275" s="88">
        <v>44790</v>
      </c>
      <c r="D275" s="88" t="s">
        <v>964</v>
      </c>
      <c r="E275" t="s">
        <v>549</v>
      </c>
      <c r="F275" t="s">
        <v>22</v>
      </c>
      <c r="G275" t="s">
        <v>547</v>
      </c>
      <c r="H275" t="s">
        <v>961</v>
      </c>
      <c r="I275" t="s">
        <v>36</v>
      </c>
      <c r="J275" t="s">
        <v>152</v>
      </c>
      <c r="K275">
        <v>1</v>
      </c>
      <c r="L275">
        <v>2022</v>
      </c>
      <c r="M275" t="str">
        <f t="shared" si="6"/>
        <v>2022-3-VBS-LI-LE-1</v>
      </c>
    </row>
    <row r="276" spans="1:13" x14ac:dyDescent="0.2">
      <c r="A276" t="str">
        <f t="shared" si="7"/>
        <v>2023-3-VBS-LI-LE-2-16S</v>
      </c>
      <c r="B276" t="s">
        <v>894</v>
      </c>
      <c r="C276" s="88">
        <v>44790</v>
      </c>
      <c r="D276" s="88" t="s">
        <v>964</v>
      </c>
      <c r="E276" t="s">
        <v>549</v>
      </c>
      <c r="F276" t="s">
        <v>22</v>
      </c>
      <c r="G276" t="s">
        <v>547</v>
      </c>
      <c r="H276" t="s">
        <v>961</v>
      </c>
      <c r="I276" t="s">
        <v>36</v>
      </c>
      <c r="J276" t="s">
        <v>152</v>
      </c>
      <c r="K276">
        <v>2</v>
      </c>
      <c r="L276">
        <v>2022</v>
      </c>
      <c r="M276" t="str">
        <f t="shared" si="6"/>
        <v>2022-3-VBS-LI-LE-2</v>
      </c>
    </row>
    <row r="277" spans="1:13" x14ac:dyDescent="0.2">
      <c r="A277" t="str">
        <f t="shared" si="7"/>
        <v>2023-3-VBS-LI-LE-3-16S</v>
      </c>
      <c r="B277" t="s">
        <v>655</v>
      </c>
      <c r="C277" s="88">
        <v>44790</v>
      </c>
      <c r="D277" s="88" t="s">
        <v>964</v>
      </c>
      <c r="E277" t="s">
        <v>549</v>
      </c>
      <c r="F277" t="s">
        <v>22</v>
      </c>
      <c r="G277" t="s">
        <v>547</v>
      </c>
      <c r="H277" t="s">
        <v>961</v>
      </c>
      <c r="I277" t="s">
        <v>36</v>
      </c>
      <c r="J277" t="s">
        <v>152</v>
      </c>
      <c r="K277">
        <v>3</v>
      </c>
      <c r="L277">
        <v>2022</v>
      </c>
      <c r="M277" t="str">
        <f t="shared" si="6"/>
        <v>2022-3-VBS-LI-LE-3</v>
      </c>
    </row>
    <row r="278" spans="1:13" x14ac:dyDescent="0.2">
      <c r="A278" t="str">
        <f t="shared" si="7"/>
        <v>2023-3-VBS-LI-LE-4-16S</v>
      </c>
      <c r="B278" t="s">
        <v>1405</v>
      </c>
      <c r="C278" s="88">
        <v>44790</v>
      </c>
      <c r="D278" s="88" t="s">
        <v>964</v>
      </c>
      <c r="E278" t="s">
        <v>549</v>
      </c>
      <c r="F278" t="s">
        <v>22</v>
      </c>
      <c r="G278" t="s">
        <v>547</v>
      </c>
      <c r="H278" t="s">
        <v>961</v>
      </c>
      <c r="I278" t="s">
        <v>36</v>
      </c>
      <c r="J278" t="s">
        <v>152</v>
      </c>
      <c r="K278">
        <v>4</v>
      </c>
      <c r="L278">
        <v>2022</v>
      </c>
      <c r="M278" t="str">
        <f t="shared" si="6"/>
        <v>2022-3-VBS-LI-LE-4</v>
      </c>
    </row>
    <row r="279" spans="1:13" x14ac:dyDescent="0.2">
      <c r="A279" t="str">
        <f t="shared" si="7"/>
        <v>2023-3-VBS-LI-LE-5-16S</v>
      </c>
      <c r="B279" t="s">
        <v>1406</v>
      </c>
      <c r="C279" s="88">
        <v>44790</v>
      </c>
      <c r="D279" s="88" t="s">
        <v>964</v>
      </c>
      <c r="E279" t="s">
        <v>549</v>
      </c>
      <c r="F279" t="s">
        <v>22</v>
      </c>
      <c r="G279" t="s">
        <v>547</v>
      </c>
      <c r="H279" t="s">
        <v>961</v>
      </c>
      <c r="I279" t="s">
        <v>36</v>
      </c>
      <c r="J279" t="s">
        <v>152</v>
      </c>
      <c r="K279">
        <v>5</v>
      </c>
      <c r="L279">
        <v>2022</v>
      </c>
      <c r="M279" t="str">
        <f t="shared" si="6"/>
        <v>2022-3-VBS-LI-LE-5</v>
      </c>
    </row>
    <row r="280" spans="1:13" x14ac:dyDescent="0.2">
      <c r="A280" t="str">
        <f t="shared" si="7"/>
        <v>2023-3-VBS-CL-LE-1-16S</v>
      </c>
      <c r="B280" t="s">
        <v>885</v>
      </c>
      <c r="C280" s="88">
        <v>44790</v>
      </c>
      <c r="D280" s="88" t="s">
        <v>964</v>
      </c>
      <c r="E280" t="s">
        <v>549</v>
      </c>
      <c r="F280" t="s">
        <v>22</v>
      </c>
      <c r="G280" t="s">
        <v>547</v>
      </c>
      <c r="H280" t="s">
        <v>961</v>
      </c>
      <c r="I280" t="s">
        <v>43</v>
      </c>
      <c r="J280" t="s">
        <v>152</v>
      </c>
      <c r="K280">
        <v>1</v>
      </c>
      <c r="L280">
        <v>2022</v>
      </c>
      <c r="M280" t="str">
        <f t="shared" si="6"/>
        <v>2022-3-VBS-CL-LE-1</v>
      </c>
    </row>
    <row r="281" spans="1:13" x14ac:dyDescent="0.2">
      <c r="A281" t="str">
        <f t="shared" si="7"/>
        <v>2023-3-VBS-CL-LE-2-16S</v>
      </c>
      <c r="B281" t="s">
        <v>886</v>
      </c>
      <c r="C281" s="88">
        <v>44790</v>
      </c>
      <c r="D281" s="88" t="s">
        <v>964</v>
      </c>
      <c r="E281" t="s">
        <v>549</v>
      </c>
      <c r="F281" t="s">
        <v>22</v>
      </c>
      <c r="G281" t="s">
        <v>547</v>
      </c>
      <c r="H281" t="s">
        <v>961</v>
      </c>
      <c r="I281" t="s">
        <v>43</v>
      </c>
      <c r="J281" t="s">
        <v>152</v>
      </c>
      <c r="K281">
        <v>2</v>
      </c>
      <c r="L281">
        <v>2022</v>
      </c>
      <c r="M281" t="str">
        <f t="shared" si="6"/>
        <v>2022-3-VBS-CL-LE-2</v>
      </c>
    </row>
    <row r="282" spans="1:13" x14ac:dyDescent="0.2">
      <c r="A282" t="str">
        <f t="shared" si="7"/>
        <v>2023-3-VBS-CL-LE-3-16S</v>
      </c>
      <c r="B282" t="s">
        <v>724</v>
      </c>
      <c r="C282" s="88">
        <v>44790</v>
      </c>
      <c r="D282" s="88" t="s">
        <v>964</v>
      </c>
      <c r="E282" t="s">
        <v>549</v>
      </c>
      <c r="F282" t="s">
        <v>22</v>
      </c>
      <c r="G282" t="s">
        <v>547</v>
      </c>
      <c r="H282" t="s">
        <v>961</v>
      </c>
      <c r="I282" t="s">
        <v>43</v>
      </c>
      <c r="J282" t="s">
        <v>152</v>
      </c>
      <c r="K282">
        <v>3</v>
      </c>
      <c r="L282">
        <v>2022</v>
      </c>
      <c r="M282" t="str">
        <f t="shared" si="6"/>
        <v>2022-3-VBS-CL-LE-3</v>
      </c>
    </row>
    <row r="283" spans="1:13" x14ac:dyDescent="0.2">
      <c r="A283" t="str">
        <f t="shared" si="7"/>
        <v>2023-3-VBS-CL-LE-4-16S</v>
      </c>
      <c r="B283" t="s">
        <v>1407</v>
      </c>
      <c r="C283" s="88">
        <v>44790</v>
      </c>
      <c r="D283" s="88" t="s">
        <v>964</v>
      </c>
      <c r="E283" t="s">
        <v>549</v>
      </c>
      <c r="F283" t="s">
        <v>22</v>
      </c>
      <c r="G283" t="s">
        <v>547</v>
      </c>
      <c r="H283" t="s">
        <v>961</v>
      </c>
      <c r="I283" t="s">
        <v>43</v>
      </c>
      <c r="J283" t="s">
        <v>152</v>
      </c>
      <c r="K283">
        <v>4</v>
      </c>
      <c r="L283">
        <v>2022</v>
      </c>
      <c r="M283" t="str">
        <f t="shared" si="6"/>
        <v>2022-3-VBS-CL-LE-4</v>
      </c>
    </row>
    <row r="284" spans="1:13" x14ac:dyDescent="0.2">
      <c r="A284" t="str">
        <f t="shared" si="7"/>
        <v>2023-3-VBS-CL-LE-5-16S</v>
      </c>
      <c r="B284" t="s">
        <v>1408</v>
      </c>
      <c r="C284" s="88">
        <v>44790</v>
      </c>
      <c r="D284" s="88" t="s">
        <v>964</v>
      </c>
      <c r="E284" t="s">
        <v>549</v>
      </c>
      <c r="F284" t="s">
        <v>22</v>
      </c>
      <c r="G284" t="s">
        <v>547</v>
      </c>
      <c r="H284" t="s">
        <v>961</v>
      </c>
      <c r="I284" t="s">
        <v>43</v>
      </c>
      <c r="J284" t="s">
        <v>152</v>
      </c>
      <c r="K284">
        <v>5</v>
      </c>
      <c r="L284">
        <v>2022</v>
      </c>
      <c r="M284" t="str">
        <f t="shared" si="6"/>
        <v>2022-3-VBS-CL-LE-5</v>
      </c>
    </row>
    <row r="285" spans="1:13" x14ac:dyDescent="0.2">
      <c r="A285" t="str">
        <f t="shared" si="7"/>
        <v>2023-3-VBS-PR-LE-1-16S</v>
      </c>
      <c r="B285" t="s">
        <v>887</v>
      </c>
      <c r="C285" s="88">
        <v>44790</v>
      </c>
      <c r="D285" s="88" t="s">
        <v>964</v>
      </c>
      <c r="E285" t="s">
        <v>549</v>
      </c>
      <c r="F285" t="s">
        <v>22</v>
      </c>
      <c r="G285" t="s">
        <v>547</v>
      </c>
      <c r="H285" t="s">
        <v>961</v>
      </c>
      <c r="I285" t="s">
        <v>74</v>
      </c>
      <c r="J285" t="s">
        <v>152</v>
      </c>
      <c r="K285">
        <v>1</v>
      </c>
      <c r="L285">
        <v>2022</v>
      </c>
      <c r="M285" t="str">
        <f t="shared" si="6"/>
        <v>2022-3-VBS-PR-LE-1</v>
      </c>
    </row>
    <row r="286" spans="1:13" x14ac:dyDescent="0.2">
      <c r="A286" t="str">
        <f t="shared" si="7"/>
        <v>2023-3-VBS-PR-LE-2-16S</v>
      </c>
      <c r="B286" t="s">
        <v>888</v>
      </c>
      <c r="C286" s="88">
        <v>44790</v>
      </c>
      <c r="D286" s="88" t="s">
        <v>964</v>
      </c>
      <c r="E286" t="s">
        <v>549</v>
      </c>
      <c r="F286" t="s">
        <v>22</v>
      </c>
      <c r="G286" t="s">
        <v>547</v>
      </c>
      <c r="H286" t="s">
        <v>961</v>
      </c>
      <c r="I286" t="s">
        <v>74</v>
      </c>
      <c r="J286" t="s">
        <v>152</v>
      </c>
      <c r="K286">
        <v>2</v>
      </c>
      <c r="L286">
        <v>2022</v>
      </c>
      <c r="M286" t="str">
        <f t="shared" si="6"/>
        <v>2022-3-VBS-PR-LE-2</v>
      </c>
    </row>
    <row r="287" spans="1:13" x14ac:dyDescent="0.2">
      <c r="A287" t="str">
        <f t="shared" si="7"/>
        <v>2023-3-VBS-PR-LE-3-16S</v>
      </c>
      <c r="B287" t="s">
        <v>732</v>
      </c>
      <c r="C287" s="88">
        <v>44790</v>
      </c>
      <c r="D287" s="88" t="s">
        <v>964</v>
      </c>
      <c r="E287" t="s">
        <v>549</v>
      </c>
      <c r="F287" t="s">
        <v>22</v>
      </c>
      <c r="G287" t="s">
        <v>547</v>
      </c>
      <c r="H287" t="s">
        <v>961</v>
      </c>
      <c r="I287" t="s">
        <v>74</v>
      </c>
      <c r="J287" t="s">
        <v>152</v>
      </c>
      <c r="K287">
        <v>3</v>
      </c>
      <c r="L287">
        <v>2022</v>
      </c>
      <c r="M287" t="str">
        <f t="shared" si="6"/>
        <v>2022-3-VBS-PR-LE-3</v>
      </c>
    </row>
    <row r="288" spans="1:13" x14ac:dyDescent="0.2">
      <c r="A288" t="str">
        <f t="shared" si="7"/>
        <v>2023-3-VBS-PR-LE-5-16S</v>
      </c>
      <c r="B288" t="s">
        <v>1409</v>
      </c>
      <c r="C288" s="88">
        <v>44790</v>
      </c>
      <c r="D288" s="88" t="s">
        <v>964</v>
      </c>
      <c r="E288" t="s">
        <v>549</v>
      </c>
      <c r="F288" t="s">
        <v>22</v>
      </c>
      <c r="G288" t="s">
        <v>547</v>
      </c>
      <c r="H288" t="s">
        <v>961</v>
      </c>
      <c r="I288" t="s">
        <v>74</v>
      </c>
      <c r="J288" t="s">
        <v>152</v>
      </c>
      <c r="K288">
        <v>5</v>
      </c>
      <c r="L288">
        <v>2022</v>
      </c>
      <c r="M288" t="str">
        <f t="shared" si="6"/>
        <v>2022-3-VBS-PR-LE-5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B05C-77D7-4890-97CF-4ADBC756F1E2}">
  <dimension ref="A2:J366"/>
  <sheetViews>
    <sheetView tabSelected="1" zoomScale="110" zoomScaleNormal="110" workbookViewId="0">
      <selection activeCell="A366" sqref="A366"/>
    </sheetView>
  </sheetViews>
  <sheetFormatPr baseColWidth="10" defaultRowHeight="15" x14ac:dyDescent="0.2"/>
  <cols>
    <col min="2" max="2" width="15.5" customWidth="1"/>
    <col min="4" max="4" width="17.83203125" customWidth="1"/>
    <col min="5" max="5" width="15.1640625" style="89" customWidth="1"/>
    <col min="6" max="6" width="11.5" style="95" customWidth="1"/>
    <col min="7" max="8" width="11.5" style="96"/>
  </cols>
  <sheetData>
    <row r="2" spans="1:8" x14ac:dyDescent="0.2">
      <c r="A2" t="s">
        <v>1336</v>
      </c>
      <c r="B2" s="90" t="s">
        <v>170</v>
      </c>
      <c r="C2" s="90" t="s">
        <v>171</v>
      </c>
      <c r="D2" s="91" t="s">
        <v>932</v>
      </c>
      <c r="E2" s="91" t="s">
        <v>933</v>
      </c>
      <c r="F2" s="93" t="s">
        <v>924</v>
      </c>
      <c r="G2" s="94" t="s">
        <v>925</v>
      </c>
      <c r="H2" s="94" t="s">
        <v>926</v>
      </c>
    </row>
    <row r="3" spans="1:8" x14ac:dyDescent="0.2">
      <c r="A3" t="str" cm="1">
        <f t="array" ref="A3:A366">"2023-" &amp; B3:B366</f>
        <v>2023-1-ASB-CL-FL-1</v>
      </c>
      <c r="B3" t="s">
        <v>556</v>
      </c>
      <c r="C3" s="74" t="s">
        <v>180</v>
      </c>
      <c r="D3" s="74" t="s">
        <v>927</v>
      </c>
      <c r="E3" s="92">
        <v>45083</v>
      </c>
      <c r="F3" s="95">
        <v>16</v>
      </c>
      <c r="G3" s="96">
        <v>1.84</v>
      </c>
      <c r="H3" s="96">
        <v>0.04</v>
      </c>
    </row>
    <row r="4" spans="1:8" x14ac:dyDescent="0.2">
      <c r="A4" t="str">
        <v>2023-1-ASB-CL-LE-1</v>
      </c>
      <c r="B4" t="s">
        <v>557</v>
      </c>
      <c r="C4" s="74" t="s">
        <v>181</v>
      </c>
      <c r="D4" s="74" t="s">
        <v>927</v>
      </c>
      <c r="E4" s="92">
        <v>45083</v>
      </c>
      <c r="F4" s="95">
        <v>7.1</v>
      </c>
      <c r="G4" s="96">
        <v>2.0499999999999998</v>
      </c>
      <c r="H4" s="96">
        <v>0.04</v>
      </c>
    </row>
    <row r="5" spans="1:8" x14ac:dyDescent="0.2">
      <c r="A5" t="str">
        <v>2023-1-ASB-CL-FL-2</v>
      </c>
      <c r="B5" t="s">
        <v>560</v>
      </c>
      <c r="C5" s="74" t="s">
        <v>182</v>
      </c>
      <c r="D5" s="74" t="s">
        <v>927</v>
      </c>
      <c r="E5" s="92">
        <v>45083</v>
      </c>
      <c r="F5" s="95">
        <v>8.6</v>
      </c>
      <c r="G5" s="96">
        <v>2.04</v>
      </c>
      <c r="H5" s="96">
        <v>0.03</v>
      </c>
    </row>
    <row r="6" spans="1:8" x14ac:dyDescent="0.2">
      <c r="A6" t="str">
        <v>2023-1-ASB-CL-LE-2</v>
      </c>
      <c r="B6" t="s">
        <v>561</v>
      </c>
      <c r="C6" s="74" t="s">
        <v>183</v>
      </c>
      <c r="D6" s="74" t="s">
        <v>927</v>
      </c>
      <c r="E6" s="92">
        <v>45083</v>
      </c>
      <c r="F6" s="95">
        <v>10.9</v>
      </c>
      <c r="G6" s="96">
        <v>1.82</v>
      </c>
      <c r="H6" s="96">
        <v>1.1000000000000001</v>
      </c>
    </row>
    <row r="7" spans="1:8" x14ac:dyDescent="0.2">
      <c r="A7" t="str">
        <v>2023-1-ASB-CL-FL-3</v>
      </c>
      <c r="B7" t="s">
        <v>562</v>
      </c>
      <c r="C7" s="74" t="s">
        <v>184</v>
      </c>
      <c r="D7" s="74" t="s">
        <v>927</v>
      </c>
      <c r="E7" s="92">
        <v>45083</v>
      </c>
      <c r="F7" s="95">
        <v>18.7</v>
      </c>
      <c r="G7" s="96">
        <v>1.86</v>
      </c>
      <c r="H7" s="96">
        <v>0.05</v>
      </c>
    </row>
    <row r="8" spans="1:8" x14ac:dyDescent="0.2">
      <c r="A8" t="str">
        <v>2023-1-ASB-CL-LE-3</v>
      </c>
      <c r="B8" t="s">
        <v>563</v>
      </c>
      <c r="C8" s="74" t="s">
        <v>185</v>
      </c>
      <c r="D8" s="74" t="s">
        <v>927</v>
      </c>
      <c r="E8" s="92">
        <v>45083</v>
      </c>
      <c r="F8" s="95">
        <v>10.3</v>
      </c>
      <c r="G8" s="96">
        <v>2.0299999999999998</v>
      </c>
      <c r="H8" s="96">
        <v>0.02</v>
      </c>
    </row>
    <row r="9" spans="1:8" x14ac:dyDescent="0.2">
      <c r="A9" t="str">
        <v>2023-1-ASB-PR-FL-1</v>
      </c>
      <c r="B9" t="s">
        <v>564</v>
      </c>
      <c r="C9" s="74" t="s">
        <v>186</v>
      </c>
      <c r="D9" s="74" t="s">
        <v>927</v>
      </c>
      <c r="E9" s="92">
        <v>45083</v>
      </c>
      <c r="F9" s="95">
        <v>10.8</v>
      </c>
      <c r="G9" s="96">
        <v>1.9</v>
      </c>
      <c r="H9" s="96">
        <v>0.03</v>
      </c>
    </row>
    <row r="10" spans="1:8" x14ac:dyDescent="0.2">
      <c r="A10" t="str">
        <v>2023-1-ASB-PR-LE-1</v>
      </c>
      <c r="B10" t="s">
        <v>565</v>
      </c>
      <c r="C10" s="74" t="s">
        <v>187</v>
      </c>
      <c r="D10" s="74" t="s">
        <v>927</v>
      </c>
      <c r="E10" s="92">
        <v>45083</v>
      </c>
      <c r="F10" s="95">
        <v>9</v>
      </c>
      <c r="G10" s="96">
        <v>1.64</v>
      </c>
      <c r="H10" s="96">
        <v>0.14000000000000001</v>
      </c>
    </row>
    <row r="11" spans="1:8" x14ac:dyDescent="0.2">
      <c r="A11" t="str">
        <v>2023-1-ASB-PR-FL-2</v>
      </c>
      <c r="B11" t="s">
        <v>572</v>
      </c>
      <c r="C11" s="74" t="s">
        <v>188</v>
      </c>
      <c r="D11" s="74" t="s">
        <v>927</v>
      </c>
      <c r="E11" s="92">
        <v>45083</v>
      </c>
      <c r="F11" s="95">
        <v>18.7</v>
      </c>
      <c r="G11" s="96">
        <v>1.54</v>
      </c>
      <c r="H11" s="96">
        <v>0.23</v>
      </c>
    </row>
    <row r="12" spans="1:8" x14ac:dyDescent="0.2">
      <c r="A12" t="str">
        <v>2023-1-ASB-PR-LE-2</v>
      </c>
      <c r="B12" t="s">
        <v>573</v>
      </c>
      <c r="C12" s="74" t="s">
        <v>189</v>
      </c>
      <c r="D12" s="74" t="s">
        <v>927</v>
      </c>
      <c r="E12" s="92">
        <v>45083</v>
      </c>
      <c r="F12" s="95">
        <v>10.6</v>
      </c>
      <c r="G12" s="96">
        <v>1.69</v>
      </c>
      <c r="H12" s="96">
        <v>0.14000000000000001</v>
      </c>
    </row>
    <row r="13" spans="1:8" x14ac:dyDescent="0.2">
      <c r="A13" t="str">
        <v>2023-1-ASB-PR-FL-3</v>
      </c>
      <c r="B13" t="s">
        <v>574</v>
      </c>
      <c r="C13" s="74" t="s">
        <v>190</v>
      </c>
      <c r="D13" s="74" t="s">
        <v>927</v>
      </c>
      <c r="E13" s="92">
        <v>45083</v>
      </c>
      <c r="F13" s="95">
        <v>19.2</v>
      </c>
      <c r="G13" s="96">
        <v>1.6</v>
      </c>
      <c r="H13" s="96">
        <v>0.26</v>
      </c>
    </row>
    <row r="14" spans="1:8" x14ac:dyDescent="0.2">
      <c r="A14" t="str">
        <v>2023-1-ASB-PR-LE-3</v>
      </c>
      <c r="B14" t="s">
        <v>575</v>
      </c>
      <c r="C14" s="74" t="s">
        <v>191</v>
      </c>
      <c r="D14" s="74" t="s">
        <v>927</v>
      </c>
      <c r="E14" s="92">
        <v>45083</v>
      </c>
      <c r="F14" s="95">
        <v>38.200000000000003</v>
      </c>
      <c r="G14" s="96">
        <v>1.83</v>
      </c>
      <c r="H14" s="96">
        <v>0.35</v>
      </c>
    </row>
    <row r="15" spans="1:8" x14ac:dyDescent="0.2">
      <c r="A15" t="str">
        <v>2023-1-ASB-HC-FL-1</v>
      </c>
      <c r="B15" t="s">
        <v>568</v>
      </c>
      <c r="C15" s="74" t="s">
        <v>192</v>
      </c>
      <c r="D15" s="74" t="s">
        <v>927</v>
      </c>
      <c r="E15" s="92">
        <v>45083</v>
      </c>
      <c r="F15" s="95">
        <v>7.6</v>
      </c>
      <c r="G15" s="96">
        <v>1.85</v>
      </c>
      <c r="H15" s="96">
        <v>0.05</v>
      </c>
    </row>
    <row r="16" spans="1:8" x14ac:dyDescent="0.2">
      <c r="A16" t="str">
        <v>2023-1-ASB-HC-LE-1</v>
      </c>
      <c r="B16" t="s">
        <v>569</v>
      </c>
      <c r="C16" s="74" t="s">
        <v>193</v>
      </c>
      <c r="D16" s="74" t="s">
        <v>927</v>
      </c>
      <c r="E16" s="92">
        <v>45083</v>
      </c>
      <c r="F16" s="95">
        <v>10.3</v>
      </c>
      <c r="G16" s="96">
        <v>1.86</v>
      </c>
      <c r="H16" s="96">
        <v>0.06</v>
      </c>
    </row>
    <row r="17" spans="1:8" x14ac:dyDescent="0.2">
      <c r="A17" t="str">
        <v>2023-1-ASB-HC-FL-2</v>
      </c>
      <c r="B17" t="s">
        <v>576</v>
      </c>
      <c r="C17" s="74" t="s">
        <v>194</v>
      </c>
      <c r="D17" s="74" t="s">
        <v>927</v>
      </c>
      <c r="E17" s="92">
        <v>45083</v>
      </c>
      <c r="F17" s="95">
        <v>7</v>
      </c>
      <c r="G17" s="96">
        <v>1.74</v>
      </c>
      <c r="H17" s="96">
        <v>0.06</v>
      </c>
    </row>
    <row r="18" spans="1:8" x14ac:dyDescent="0.2">
      <c r="A18" t="str">
        <v>2023-1-ASB-HC-LE-2</v>
      </c>
      <c r="B18" t="s">
        <v>577</v>
      </c>
      <c r="C18" s="74" t="s">
        <v>195</v>
      </c>
      <c r="D18" s="74" t="s">
        <v>927</v>
      </c>
      <c r="E18" s="92">
        <v>45083</v>
      </c>
      <c r="F18" s="95">
        <v>18.3</v>
      </c>
      <c r="G18" s="96">
        <v>1.79</v>
      </c>
      <c r="H18" s="96">
        <v>0.19</v>
      </c>
    </row>
    <row r="19" spans="1:8" x14ac:dyDescent="0.2">
      <c r="A19" t="str">
        <v>2023-1-ASB-HC-FL-3</v>
      </c>
      <c r="B19" t="s">
        <v>578</v>
      </c>
      <c r="C19" s="74" t="s">
        <v>196</v>
      </c>
      <c r="D19" s="74" t="s">
        <v>927</v>
      </c>
      <c r="E19" s="92">
        <v>45083</v>
      </c>
      <c r="F19" s="95">
        <v>11.9</v>
      </c>
      <c r="G19" s="96">
        <v>1.59</v>
      </c>
      <c r="H19" s="96">
        <v>0.17</v>
      </c>
    </row>
    <row r="20" spans="1:8" x14ac:dyDescent="0.2">
      <c r="A20" t="str">
        <v>2023-1-ASB-HC-LE-3</v>
      </c>
      <c r="B20" t="s">
        <v>579</v>
      </c>
      <c r="C20" s="74" t="s">
        <v>197</v>
      </c>
      <c r="D20" s="74" t="s">
        <v>927</v>
      </c>
      <c r="E20" s="92">
        <v>45083</v>
      </c>
      <c r="F20" s="95">
        <v>28.2</v>
      </c>
      <c r="G20" s="96">
        <v>1.78</v>
      </c>
      <c r="H20" s="96">
        <v>0.41</v>
      </c>
    </row>
    <row r="21" spans="1:8" x14ac:dyDescent="0.2">
      <c r="A21" t="str">
        <v>2023-1-ASB-SP-FL-1</v>
      </c>
      <c r="B21" t="s">
        <v>580</v>
      </c>
      <c r="C21" s="74" t="s">
        <v>198</v>
      </c>
      <c r="D21" s="74" t="s">
        <v>927</v>
      </c>
      <c r="E21" s="92">
        <v>45083</v>
      </c>
      <c r="F21" s="95">
        <v>8</v>
      </c>
      <c r="G21" s="96">
        <v>1.6</v>
      </c>
      <c r="H21" s="96">
        <v>0.4</v>
      </c>
    </row>
    <row r="22" spans="1:8" x14ac:dyDescent="0.2">
      <c r="A22" t="str">
        <v>2023-1-ASB-SP-LE-1</v>
      </c>
      <c r="B22" t="s">
        <v>581</v>
      </c>
      <c r="C22" s="74" t="s">
        <v>199</v>
      </c>
      <c r="D22" s="74" t="s">
        <v>927</v>
      </c>
      <c r="E22" s="92">
        <v>45083</v>
      </c>
      <c r="F22" s="95">
        <v>10</v>
      </c>
      <c r="G22" s="96">
        <v>1.66</v>
      </c>
      <c r="H22" s="96">
        <v>0.64</v>
      </c>
    </row>
    <row r="23" spans="1:8" x14ac:dyDescent="0.2">
      <c r="A23" t="str">
        <v>2023-1-ASB-SP-FL-2</v>
      </c>
      <c r="B23" t="s">
        <v>592</v>
      </c>
      <c r="C23" s="74" t="s">
        <v>200</v>
      </c>
      <c r="D23" s="74" t="s">
        <v>928</v>
      </c>
      <c r="E23" s="92">
        <v>45083</v>
      </c>
      <c r="F23" s="95">
        <v>9.6</v>
      </c>
      <c r="G23" s="96">
        <v>1.73</v>
      </c>
      <c r="H23" s="96">
        <v>7.0000000000000007E-2</v>
      </c>
    </row>
    <row r="24" spans="1:8" x14ac:dyDescent="0.2">
      <c r="A24" t="str">
        <v>2023-1-ASB-SP-LE-2</v>
      </c>
      <c r="B24" t="s">
        <v>593</v>
      </c>
      <c r="C24" s="74" t="s">
        <v>201</v>
      </c>
      <c r="D24" s="74" t="s">
        <v>928</v>
      </c>
      <c r="E24" s="92">
        <v>45083</v>
      </c>
      <c r="F24" s="95">
        <v>16.399999999999999</v>
      </c>
      <c r="G24" s="96">
        <v>1.72</v>
      </c>
      <c r="H24" s="96">
        <v>0.31</v>
      </c>
    </row>
    <row r="25" spans="1:8" x14ac:dyDescent="0.2">
      <c r="A25" t="str">
        <v>2023-1-ASB-SP-FL-3</v>
      </c>
      <c r="B25" t="s">
        <v>594</v>
      </c>
      <c r="C25" s="74" t="s">
        <v>202</v>
      </c>
      <c r="D25" s="74" t="s">
        <v>928</v>
      </c>
      <c r="E25" s="92">
        <v>45083</v>
      </c>
      <c r="F25" s="95">
        <v>8.1</v>
      </c>
      <c r="G25" s="96">
        <v>1.53</v>
      </c>
      <c r="H25" s="96">
        <v>0.19</v>
      </c>
    </row>
    <row r="26" spans="1:8" x14ac:dyDescent="0.2">
      <c r="A26" t="str">
        <v>2023-1-ASB-SP-LE-3</v>
      </c>
      <c r="B26" t="s">
        <v>595</v>
      </c>
      <c r="C26" s="74" t="s">
        <v>203</v>
      </c>
      <c r="D26" s="74" t="s">
        <v>928</v>
      </c>
      <c r="E26" s="92">
        <v>45083</v>
      </c>
      <c r="F26" s="95">
        <v>10</v>
      </c>
      <c r="G26" s="96">
        <v>1.65</v>
      </c>
      <c r="H26" s="96">
        <v>0.13</v>
      </c>
    </row>
    <row r="27" spans="1:8" x14ac:dyDescent="0.2">
      <c r="A27" t="str">
        <v>2023-1-ASB-LI-FL-1</v>
      </c>
      <c r="B27" t="s">
        <v>584</v>
      </c>
      <c r="C27" s="74" t="s">
        <v>204</v>
      </c>
      <c r="D27" s="74" t="s">
        <v>928</v>
      </c>
      <c r="E27" s="92">
        <v>45084</v>
      </c>
      <c r="F27" s="95">
        <v>12.4</v>
      </c>
      <c r="G27" s="96">
        <v>1.85</v>
      </c>
      <c r="H27" s="96">
        <v>0.18</v>
      </c>
    </row>
    <row r="28" spans="1:8" x14ac:dyDescent="0.2">
      <c r="A28" t="str">
        <v>2023-1-ASB-LI-LE-1</v>
      </c>
      <c r="B28" t="s">
        <v>585</v>
      </c>
      <c r="C28" s="74" t="s">
        <v>205</v>
      </c>
      <c r="D28" s="74" t="s">
        <v>928</v>
      </c>
      <c r="E28" s="92">
        <v>45084</v>
      </c>
      <c r="F28" s="95">
        <v>19.2</v>
      </c>
      <c r="G28" s="96">
        <v>2.0099999999999998</v>
      </c>
      <c r="H28" s="96">
        <v>0.05</v>
      </c>
    </row>
    <row r="29" spans="1:8" x14ac:dyDescent="0.2">
      <c r="A29" t="str">
        <v>2023-1-ASB-LI-FL-2</v>
      </c>
      <c r="B29" t="s">
        <v>596</v>
      </c>
      <c r="C29" s="74" t="s">
        <v>206</v>
      </c>
      <c r="D29" s="74" t="s">
        <v>928</v>
      </c>
      <c r="E29" s="92">
        <v>45084</v>
      </c>
      <c r="F29" s="95">
        <v>7.2</v>
      </c>
      <c r="G29" s="96">
        <v>1.93</v>
      </c>
      <c r="H29" s="96">
        <v>0.19</v>
      </c>
    </row>
    <row r="30" spans="1:8" x14ac:dyDescent="0.2">
      <c r="A30" t="str">
        <v>2023-1-ASB-LI-LE-2</v>
      </c>
      <c r="B30" t="s">
        <v>597</v>
      </c>
      <c r="C30" s="74" t="s">
        <v>207</v>
      </c>
      <c r="D30" s="74" t="s">
        <v>928</v>
      </c>
      <c r="E30" s="92">
        <v>45084</v>
      </c>
      <c r="F30" s="95">
        <v>17.8</v>
      </c>
      <c r="G30" s="96">
        <v>1.96</v>
      </c>
      <c r="H30" s="96">
        <v>0.33</v>
      </c>
    </row>
    <row r="31" spans="1:8" x14ac:dyDescent="0.2">
      <c r="A31" t="str">
        <v>2023-1-ASB-LI-FL-3</v>
      </c>
      <c r="B31" t="s">
        <v>598</v>
      </c>
      <c r="C31" s="74" t="s">
        <v>208</v>
      </c>
      <c r="D31" s="74" t="s">
        <v>928</v>
      </c>
      <c r="E31" s="92">
        <v>45084</v>
      </c>
      <c r="F31" s="95">
        <v>10.5</v>
      </c>
      <c r="G31" s="96">
        <v>1.97</v>
      </c>
      <c r="H31" s="96">
        <v>0.33</v>
      </c>
    </row>
    <row r="32" spans="1:8" x14ac:dyDescent="0.2">
      <c r="A32" t="str">
        <v>2023-1-ASB-LI-LE-3</v>
      </c>
      <c r="B32" t="s">
        <v>599</v>
      </c>
      <c r="C32" s="74" t="s">
        <v>209</v>
      </c>
      <c r="D32" s="74" t="s">
        <v>928</v>
      </c>
      <c r="E32" s="92">
        <v>45084</v>
      </c>
      <c r="F32" s="95">
        <v>24.2</v>
      </c>
      <c r="G32" s="96">
        <v>1.87</v>
      </c>
      <c r="H32" s="96">
        <v>0.45</v>
      </c>
    </row>
    <row r="33" spans="1:8" x14ac:dyDescent="0.2">
      <c r="A33" t="str">
        <v>2023-1-ASB-EM-FL-1</v>
      </c>
      <c r="B33" t="s">
        <v>588</v>
      </c>
      <c r="C33" s="74" t="s">
        <v>210</v>
      </c>
      <c r="D33" s="74" t="s">
        <v>928</v>
      </c>
      <c r="E33" s="92">
        <v>45084</v>
      </c>
      <c r="F33" s="95">
        <v>16.600000000000001</v>
      </c>
      <c r="G33" s="96">
        <v>1.97</v>
      </c>
      <c r="H33" s="96">
        <v>1.26</v>
      </c>
    </row>
    <row r="34" spans="1:8" x14ac:dyDescent="0.2">
      <c r="A34" t="str">
        <v>2023-1-ASB-EM-LE-1</v>
      </c>
      <c r="B34" t="s">
        <v>589</v>
      </c>
      <c r="C34" s="74" t="s">
        <v>211</v>
      </c>
      <c r="D34" s="74" t="s">
        <v>928</v>
      </c>
      <c r="E34" s="92">
        <v>45084</v>
      </c>
      <c r="F34" s="95">
        <v>17.5</v>
      </c>
      <c r="G34" s="96">
        <v>1.87</v>
      </c>
      <c r="H34" s="96">
        <v>0.65</v>
      </c>
    </row>
    <row r="35" spans="1:8" x14ac:dyDescent="0.2">
      <c r="A35" t="str">
        <v>2023-1-ASB-EM-FL-2</v>
      </c>
      <c r="B35" t="s">
        <v>600</v>
      </c>
      <c r="C35" s="74" t="s">
        <v>212</v>
      </c>
      <c r="D35" s="74" t="s">
        <v>928</v>
      </c>
      <c r="E35" s="92">
        <v>45084</v>
      </c>
      <c r="F35" s="95">
        <v>11.7</v>
      </c>
      <c r="G35" s="96">
        <v>1.93</v>
      </c>
      <c r="H35" s="96">
        <v>0.05</v>
      </c>
    </row>
    <row r="36" spans="1:8" x14ac:dyDescent="0.2">
      <c r="A36" t="str">
        <v>2023-1-ASB-EM-LE-2</v>
      </c>
      <c r="B36" t="s">
        <v>601</v>
      </c>
      <c r="C36" s="74" t="s">
        <v>213</v>
      </c>
      <c r="D36" s="74" t="s">
        <v>928</v>
      </c>
      <c r="E36" s="92">
        <v>45084</v>
      </c>
      <c r="F36" s="95">
        <v>16.7</v>
      </c>
      <c r="G36" s="96">
        <v>1.96</v>
      </c>
      <c r="H36" s="96">
        <v>0.08</v>
      </c>
    </row>
    <row r="37" spans="1:8" x14ac:dyDescent="0.2">
      <c r="A37" t="str">
        <v>2023-1-ASB-EM-FL-3</v>
      </c>
      <c r="B37" t="s">
        <v>602</v>
      </c>
      <c r="C37" s="74" t="s">
        <v>214</v>
      </c>
      <c r="D37" s="74" t="s">
        <v>928</v>
      </c>
      <c r="E37" s="92">
        <v>45084</v>
      </c>
      <c r="F37" s="95">
        <v>8.9</v>
      </c>
      <c r="G37" s="96">
        <v>1.74</v>
      </c>
      <c r="H37" s="96">
        <v>0.21</v>
      </c>
    </row>
    <row r="38" spans="1:8" x14ac:dyDescent="0.2">
      <c r="A38" t="str">
        <v>2023-1-ASB-EM-LE-3</v>
      </c>
      <c r="B38" t="s">
        <v>603</v>
      </c>
      <c r="C38" s="74" t="s">
        <v>215</v>
      </c>
      <c r="D38" s="74" t="s">
        <v>928</v>
      </c>
      <c r="E38" s="92">
        <v>45084</v>
      </c>
      <c r="F38" s="95">
        <v>6.7</v>
      </c>
      <c r="G38" s="96">
        <v>2.2599999999999998</v>
      </c>
      <c r="H38" s="96">
        <v>0.62</v>
      </c>
    </row>
    <row r="39" spans="1:8" x14ac:dyDescent="0.2">
      <c r="A39" t="str">
        <v>2023-1-PMB-CL-FL-1</v>
      </c>
      <c r="B39" t="s">
        <v>604</v>
      </c>
      <c r="C39" s="74" t="s">
        <v>216</v>
      </c>
      <c r="D39" s="74" t="s">
        <v>928</v>
      </c>
      <c r="E39" s="92">
        <v>45084</v>
      </c>
      <c r="F39" s="95">
        <v>15.1</v>
      </c>
      <c r="G39" s="96">
        <v>1.95</v>
      </c>
      <c r="H39" s="96">
        <v>0.37</v>
      </c>
    </row>
    <row r="40" spans="1:8" x14ac:dyDescent="0.2">
      <c r="A40" t="str">
        <v>2023-1-PMB-CL-LE-1</v>
      </c>
      <c r="B40" t="s">
        <v>605</v>
      </c>
      <c r="C40" s="74" t="s">
        <v>217</v>
      </c>
      <c r="D40" s="74" t="s">
        <v>928</v>
      </c>
      <c r="E40" s="92">
        <v>45084</v>
      </c>
      <c r="F40" s="95">
        <v>8.1999999999999993</v>
      </c>
      <c r="G40" s="96">
        <v>2.1800000000000002</v>
      </c>
      <c r="H40" s="96">
        <v>0.08</v>
      </c>
    </row>
    <row r="41" spans="1:8" x14ac:dyDescent="0.2">
      <c r="A41" t="str">
        <v>2023-1-PMB-CL-FL-2</v>
      </c>
      <c r="B41" t="s">
        <v>608</v>
      </c>
      <c r="C41" s="74" t="s">
        <v>218</v>
      </c>
      <c r="D41" s="74" t="s">
        <v>928</v>
      </c>
      <c r="E41" s="92">
        <v>45084</v>
      </c>
      <c r="F41" s="95">
        <v>6.8</v>
      </c>
      <c r="G41" s="96">
        <v>1.79</v>
      </c>
      <c r="H41" s="96">
        <v>7.0000000000000007E-2</v>
      </c>
    </row>
    <row r="42" spans="1:8" x14ac:dyDescent="0.2">
      <c r="A42" t="str">
        <v>2023-1-PMB-CL-LE-2</v>
      </c>
      <c r="B42" t="s">
        <v>609</v>
      </c>
      <c r="C42" s="74" t="s">
        <v>219</v>
      </c>
      <c r="D42" s="74" t="s">
        <v>928</v>
      </c>
      <c r="E42" s="92">
        <v>45084</v>
      </c>
      <c r="F42" s="95">
        <v>12.4</v>
      </c>
      <c r="G42" s="96">
        <v>1.78</v>
      </c>
      <c r="H42" s="96">
        <v>0.76</v>
      </c>
    </row>
    <row r="43" spans="1:8" x14ac:dyDescent="0.2">
      <c r="A43" t="str">
        <v>2023-1-PMB-CL-FL-3</v>
      </c>
      <c r="B43" t="s">
        <v>610</v>
      </c>
      <c r="C43" s="74" t="s">
        <v>220</v>
      </c>
      <c r="D43" s="74" t="s">
        <v>928</v>
      </c>
      <c r="E43" s="92">
        <v>45084</v>
      </c>
      <c r="F43" s="95">
        <v>14.2</v>
      </c>
      <c r="G43" s="96">
        <v>2.0299999999999998</v>
      </c>
      <c r="H43" s="96">
        <v>0.03</v>
      </c>
    </row>
    <row r="44" spans="1:8" x14ac:dyDescent="0.2">
      <c r="A44" t="str">
        <v>2023-1-PMB-CL-LE-3</v>
      </c>
      <c r="B44" t="s">
        <v>611</v>
      </c>
      <c r="C44" s="74" t="s">
        <v>221</v>
      </c>
      <c r="D44" s="74" t="s">
        <v>928</v>
      </c>
      <c r="E44" s="92">
        <v>45084</v>
      </c>
      <c r="F44" s="95">
        <v>10.4</v>
      </c>
      <c r="G44" s="96">
        <v>1.79</v>
      </c>
      <c r="H44" s="96">
        <v>0.33</v>
      </c>
    </row>
    <row r="45" spans="1:8" x14ac:dyDescent="0.2">
      <c r="A45" t="str">
        <v>2023-1-PMB-PR-FL-1</v>
      </c>
      <c r="B45" t="s">
        <v>612</v>
      </c>
      <c r="C45" s="74" t="s">
        <v>222</v>
      </c>
      <c r="D45" s="74" t="s">
        <v>928</v>
      </c>
      <c r="E45" s="92">
        <v>45084</v>
      </c>
      <c r="F45" s="95">
        <v>11.2</v>
      </c>
      <c r="G45" s="96">
        <v>1.83</v>
      </c>
      <c r="H45" s="96">
        <v>7.0000000000000007E-2</v>
      </c>
    </row>
    <row r="46" spans="1:8" x14ac:dyDescent="0.2">
      <c r="A46" t="str">
        <v>2023-1-PMP-PR-LE-1</v>
      </c>
      <c r="B46" t="s">
        <v>615</v>
      </c>
      <c r="C46" s="74" t="s">
        <v>223</v>
      </c>
      <c r="D46" s="74" t="s">
        <v>928</v>
      </c>
      <c r="E46" s="92">
        <v>45084</v>
      </c>
      <c r="F46" s="95">
        <v>12.3</v>
      </c>
      <c r="G46" s="96">
        <v>1.86</v>
      </c>
      <c r="H46" s="96">
        <v>0.05</v>
      </c>
    </row>
    <row r="47" spans="1:8" x14ac:dyDescent="0.2">
      <c r="A47" t="str">
        <v>2023-1-PMB-PR-FL-2</v>
      </c>
      <c r="B47" t="s">
        <v>616</v>
      </c>
      <c r="C47" s="74" t="s">
        <v>224</v>
      </c>
      <c r="D47" s="74" t="s">
        <v>928</v>
      </c>
      <c r="E47" s="92">
        <v>45084</v>
      </c>
      <c r="F47" s="95">
        <v>9.5</v>
      </c>
      <c r="G47" s="96">
        <v>1.71</v>
      </c>
      <c r="H47" s="96">
        <v>0.23</v>
      </c>
    </row>
    <row r="48" spans="1:8" x14ac:dyDescent="0.2">
      <c r="A48" t="str">
        <v>2023-1-PMP-PR-LE-2</v>
      </c>
      <c r="B48" t="s">
        <v>617</v>
      </c>
      <c r="C48" s="74" t="s">
        <v>225</v>
      </c>
      <c r="D48" s="74" t="s">
        <v>928</v>
      </c>
      <c r="E48" s="92">
        <v>45084</v>
      </c>
      <c r="F48" s="95">
        <v>8.3000000000000007</v>
      </c>
      <c r="G48" s="96">
        <v>1.81</v>
      </c>
      <c r="H48" s="96">
        <v>0.1</v>
      </c>
    </row>
    <row r="49" spans="1:8" x14ac:dyDescent="0.2">
      <c r="A49" t="str">
        <v>2023-1-PMB-PR-FL-3</v>
      </c>
      <c r="B49" t="s">
        <v>618</v>
      </c>
      <c r="C49" s="74" t="s">
        <v>226</v>
      </c>
      <c r="D49" s="74" t="s">
        <v>928</v>
      </c>
      <c r="E49" s="92">
        <v>45084</v>
      </c>
      <c r="F49" s="95">
        <v>8.9</v>
      </c>
      <c r="G49" s="96">
        <v>1.77</v>
      </c>
      <c r="H49" s="96">
        <v>0.2</v>
      </c>
    </row>
    <row r="50" spans="1:8" x14ac:dyDescent="0.2">
      <c r="A50" t="str">
        <v>2023-1-PMB-PR-LE-3</v>
      </c>
      <c r="B50" t="s">
        <v>619</v>
      </c>
      <c r="C50" s="74" t="s">
        <v>227</v>
      </c>
      <c r="D50" s="74" t="s">
        <v>928</v>
      </c>
      <c r="E50" s="92">
        <v>45084</v>
      </c>
      <c r="F50" s="95">
        <v>6.6</v>
      </c>
      <c r="G50" s="96">
        <v>1.52</v>
      </c>
      <c r="H50" s="96">
        <v>0.77</v>
      </c>
    </row>
    <row r="51" spans="1:8" x14ac:dyDescent="0.2">
      <c r="A51" t="str">
        <v>2023-1-PMB-HC-FL-1</v>
      </c>
      <c r="B51" t="s">
        <v>620</v>
      </c>
      <c r="C51" s="74" t="s">
        <v>228</v>
      </c>
      <c r="D51" s="74" t="s">
        <v>928</v>
      </c>
      <c r="E51" s="92">
        <v>45085</v>
      </c>
      <c r="F51" s="95">
        <v>11.8</v>
      </c>
      <c r="G51" s="96">
        <v>1.76</v>
      </c>
      <c r="H51" s="96">
        <v>0.7</v>
      </c>
    </row>
    <row r="52" spans="1:8" x14ac:dyDescent="0.2">
      <c r="A52" t="str">
        <v>2023-1-PMB-HC-LE-1</v>
      </c>
      <c r="B52" t="s">
        <v>621</v>
      </c>
      <c r="C52" s="74" t="s">
        <v>229</v>
      </c>
      <c r="D52" s="74" t="s">
        <v>928</v>
      </c>
      <c r="E52" s="92">
        <v>45085</v>
      </c>
      <c r="F52" s="95">
        <v>11.4</v>
      </c>
      <c r="G52" s="96">
        <v>1.7</v>
      </c>
      <c r="H52" s="96">
        <v>0.56000000000000005</v>
      </c>
    </row>
    <row r="53" spans="1:8" x14ac:dyDescent="0.2">
      <c r="A53" t="str">
        <v>2023-1-PMB-HC-FL-2</v>
      </c>
      <c r="B53" t="s">
        <v>624</v>
      </c>
      <c r="C53" s="74" t="s">
        <v>230</v>
      </c>
      <c r="D53" s="74" t="s">
        <v>928</v>
      </c>
      <c r="E53" s="92">
        <v>45085</v>
      </c>
      <c r="F53" s="95">
        <v>5.3</v>
      </c>
      <c r="G53" s="96">
        <v>1.83</v>
      </c>
      <c r="H53" s="96">
        <v>0.08</v>
      </c>
    </row>
    <row r="54" spans="1:8" x14ac:dyDescent="0.2">
      <c r="A54" t="str">
        <v>2023-1-PMB-HC-LE-2</v>
      </c>
      <c r="B54" t="s">
        <v>625</v>
      </c>
      <c r="C54" s="74" t="s">
        <v>231</v>
      </c>
      <c r="D54" s="74" t="s">
        <v>928</v>
      </c>
      <c r="E54" s="92">
        <v>45085</v>
      </c>
      <c r="F54" s="95">
        <v>7.9</v>
      </c>
      <c r="G54" s="96">
        <v>1.76</v>
      </c>
      <c r="H54" s="96">
        <v>0.14000000000000001</v>
      </c>
    </row>
    <row r="55" spans="1:8" x14ac:dyDescent="0.2">
      <c r="A55" t="str">
        <v>2023-1-PMB-HC-FL-3</v>
      </c>
      <c r="B55" t="s">
        <v>626</v>
      </c>
      <c r="C55" s="74" t="s">
        <v>232</v>
      </c>
      <c r="D55" s="74" t="s">
        <v>928</v>
      </c>
      <c r="E55" s="92">
        <v>45085</v>
      </c>
      <c r="F55" s="95">
        <v>4.5999999999999996</v>
      </c>
      <c r="G55" s="96">
        <v>1.79</v>
      </c>
      <c r="H55" s="96">
        <v>0.25</v>
      </c>
    </row>
    <row r="56" spans="1:8" x14ac:dyDescent="0.2">
      <c r="A56" t="str">
        <v>2023-1-PMB-HC-LE-3</v>
      </c>
      <c r="B56" t="s">
        <v>627</v>
      </c>
      <c r="C56" s="74" t="s">
        <v>233</v>
      </c>
      <c r="D56" s="74" t="s">
        <v>928</v>
      </c>
      <c r="E56" s="92">
        <v>45085</v>
      </c>
      <c r="F56" s="95">
        <v>8.4</v>
      </c>
      <c r="G56" s="96">
        <v>1.91</v>
      </c>
      <c r="H56" s="96">
        <v>0.22</v>
      </c>
    </row>
    <row r="57" spans="1:8" x14ac:dyDescent="0.2">
      <c r="A57" t="str">
        <v>2023-1-PMB-SP-FL-1</v>
      </c>
      <c r="B57" t="s">
        <v>628</v>
      </c>
      <c r="C57" s="74" t="s">
        <v>234</v>
      </c>
      <c r="D57" s="74" t="s">
        <v>928</v>
      </c>
      <c r="E57" s="92">
        <v>45085</v>
      </c>
      <c r="F57" s="95">
        <v>6.7</v>
      </c>
      <c r="G57" s="96">
        <v>2</v>
      </c>
      <c r="H57" s="96">
        <v>0.14000000000000001</v>
      </c>
    </row>
    <row r="58" spans="1:8" x14ac:dyDescent="0.2">
      <c r="A58" t="str">
        <v>2023-1-PMB-SP-LE-1</v>
      </c>
      <c r="B58" t="s">
        <v>629</v>
      </c>
      <c r="C58" s="74" t="s">
        <v>235</v>
      </c>
      <c r="D58" s="74" t="s">
        <v>928</v>
      </c>
      <c r="E58" s="92">
        <v>45085</v>
      </c>
      <c r="F58" s="95">
        <v>12</v>
      </c>
      <c r="G58" s="96">
        <v>1.83</v>
      </c>
      <c r="H58" s="96">
        <v>0.8</v>
      </c>
    </row>
    <row r="59" spans="1:8" x14ac:dyDescent="0.2">
      <c r="A59" t="str">
        <v>2023-1-PMB-SP-FL-2</v>
      </c>
      <c r="B59" t="s">
        <v>678</v>
      </c>
      <c r="C59" s="74" t="s">
        <v>236</v>
      </c>
      <c r="D59" s="74" t="s">
        <v>928</v>
      </c>
      <c r="E59" s="92">
        <v>45085</v>
      </c>
      <c r="F59" s="95">
        <v>11.4</v>
      </c>
      <c r="G59" s="96">
        <v>1.85</v>
      </c>
      <c r="H59" s="96">
        <v>0.44</v>
      </c>
    </row>
    <row r="60" spans="1:8" x14ac:dyDescent="0.2">
      <c r="A60" t="str">
        <v>2023-1-PMB-SP-LE-2</v>
      </c>
      <c r="B60" t="s">
        <v>679</v>
      </c>
      <c r="C60" s="74" t="s">
        <v>237</v>
      </c>
      <c r="D60" s="74" t="s">
        <v>928</v>
      </c>
      <c r="E60" s="92">
        <v>45085</v>
      </c>
      <c r="F60" s="95">
        <v>8.5</v>
      </c>
      <c r="G60" s="96">
        <v>1.83</v>
      </c>
      <c r="H60" s="96">
        <v>0.51</v>
      </c>
    </row>
    <row r="61" spans="1:8" x14ac:dyDescent="0.2">
      <c r="A61" t="str">
        <v>2023-1-PMB-SP-FL-3</v>
      </c>
      <c r="B61" t="s">
        <v>680</v>
      </c>
      <c r="C61" s="74" t="s">
        <v>238</v>
      </c>
      <c r="D61" s="74" t="s">
        <v>929</v>
      </c>
      <c r="E61" s="92">
        <v>45085</v>
      </c>
      <c r="F61" s="95">
        <v>7.7</v>
      </c>
      <c r="G61" s="96">
        <v>1.84</v>
      </c>
      <c r="H61" s="96">
        <v>0.25</v>
      </c>
    </row>
    <row r="62" spans="1:8" x14ac:dyDescent="0.2">
      <c r="A62" t="str">
        <v>2023-1-PMB-SP-LE-3</v>
      </c>
      <c r="B62" t="s">
        <v>681</v>
      </c>
      <c r="C62" s="74" t="s">
        <v>239</v>
      </c>
      <c r="D62" s="74" t="s">
        <v>929</v>
      </c>
      <c r="E62" s="92">
        <v>45085</v>
      </c>
      <c r="F62" s="95">
        <v>8.4</v>
      </c>
      <c r="G62" s="96">
        <v>1.76</v>
      </c>
      <c r="H62" s="96">
        <v>0.64</v>
      </c>
    </row>
    <row r="63" spans="1:8" x14ac:dyDescent="0.2">
      <c r="A63" t="str">
        <v>2023-1-PMB-LI-FL-1</v>
      </c>
      <c r="B63" t="s">
        <v>632</v>
      </c>
      <c r="C63" s="74" t="s">
        <v>240</v>
      </c>
      <c r="D63" s="74" t="s">
        <v>929</v>
      </c>
      <c r="E63" s="92">
        <v>45085</v>
      </c>
      <c r="F63" s="95">
        <v>9</v>
      </c>
      <c r="G63" s="96">
        <v>1.72</v>
      </c>
      <c r="H63" s="96">
        <v>0.77</v>
      </c>
    </row>
    <row r="64" spans="1:8" x14ac:dyDescent="0.2">
      <c r="A64" t="str">
        <v>2023-1-PMB-LI-LE-1</v>
      </c>
      <c r="B64" t="s">
        <v>633</v>
      </c>
      <c r="C64" s="74" t="s">
        <v>241</v>
      </c>
      <c r="D64" s="74" t="s">
        <v>929</v>
      </c>
      <c r="E64" s="92">
        <v>45085</v>
      </c>
      <c r="F64" s="95">
        <v>8.8000000000000007</v>
      </c>
      <c r="G64" s="96">
        <v>1.78</v>
      </c>
      <c r="H64" s="96">
        <v>0.22</v>
      </c>
    </row>
    <row r="65" spans="1:8" x14ac:dyDescent="0.2">
      <c r="A65" t="str">
        <v>2023-1-PMB-LI-FL-2</v>
      </c>
      <c r="B65" t="s">
        <v>682</v>
      </c>
      <c r="C65" s="74" t="s">
        <v>242</v>
      </c>
      <c r="D65" s="74" t="s">
        <v>929</v>
      </c>
      <c r="E65" s="92">
        <v>45085</v>
      </c>
      <c r="F65" s="95">
        <v>9.9</v>
      </c>
      <c r="G65" s="96">
        <v>1.62</v>
      </c>
      <c r="H65" s="96">
        <v>0.46</v>
      </c>
    </row>
    <row r="66" spans="1:8" x14ac:dyDescent="0.2">
      <c r="A66" t="str">
        <v>2023-1-PMB-LI-LE-2</v>
      </c>
      <c r="B66" t="s">
        <v>683</v>
      </c>
      <c r="C66" s="74" t="s">
        <v>243</v>
      </c>
      <c r="D66" s="74" t="s">
        <v>929</v>
      </c>
      <c r="E66" s="92">
        <v>45085</v>
      </c>
      <c r="F66" s="95">
        <v>7.4</v>
      </c>
      <c r="G66" s="96">
        <v>1.58</v>
      </c>
      <c r="H66" s="96">
        <v>0.36</v>
      </c>
    </row>
    <row r="67" spans="1:8" x14ac:dyDescent="0.2">
      <c r="A67" t="str">
        <v>2023-1-PMB-LI-FL-3</v>
      </c>
      <c r="B67" t="s">
        <v>684</v>
      </c>
      <c r="C67" s="74" t="s">
        <v>244</v>
      </c>
      <c r="D67" s="74" t="s">
        <v>929</v>
      </c>
      <c r="E67" s="92">
        <v>45085</v>
      </c>
      <c r="F67" s="95">
        <v>6.4</v>
      </c>
      <c r="G67" s="96">
        <v>1.58</v>
      </c>
      <c r="H67" s="96">
        <v>0.45</v>
      </c>
    </row>
    <row r="68" spans="1:8" x14ac:dyDescent="0.2">
      <c r="A68" t="str">
        <v>2023-1-PMB-LI-LE-3</v>
      </c>
      <c r="B68" t="s">
        <v>685</v>
      </c>
      <c r="C68" s="74" t="s">
        <v>245</v>
      </c>
      <c r="D68" s="74" t="s">
        <v>929</v>
      </c>
      <c r="E68" s="92">
        <v>45085</v>
      </c>
      <c r="F68" s="95">
        <v>9.6999999999999993</v>
      </c>
      <c r="G68" s="96">
        <v>1.77</v>
      </c>
      <c r="H68" s="96">
        <v>0.36</v>
      </c>
    </row>
    <row r="69" spans="1:8" x14ac:dyDescent="0.2">
      <c r="A69" t="str">
        <v>2023-1-PMB-EM-FL-1</v>
      </c>
      <c r="B69" t="s">
        <v>636</v>
      </c>
      <c r="C69" s="74" t="s">
        <v>246</v>
      </c>
      <c r="D69" s="74" t="s">
        <v>929</v>
      </c>
      <c r="E69" s="92">
        <v>45085</v>
      </c>
      <c r="F69" s="95">
        <v>8.6999999999999993</v>
      </c>
      <c r="G69" s="96">
        <v>1.61</v>
      </c>
      <c r="H69" s="96">
        <v>0.59</v>
      </c>
    </row>
    <row r="70" spans="1:8" x14ac:dyDescent="0.2">
      <c r="A70" t="str">
        <v>2023-1-PMB-EM-LE-1</v>
      </c>
      <c r="B70" t="s">
        <v>637</v>
      </c>
      <c r="C70" s="74" t="s">
        <v>247</v>
      </c>
      <c r="D70" s="74" t="s">
        <v>929</v>
      </c>
      <c r="E70" s="92">
        <v>45085</v>
      </c>
      <c r="F70" s="95">
        <v>7.8</v>
      </c>
      <c r="G70" s="96">
        <v>1.6</v>
      </c>
      <c r="H70" s="96">
        <v>0.6</v>
      </c>
    </row>
    <row r="71" spans="1:8" x14ac:dyDescent="0.2">
      <c r="A71" t="str">
        <v>2023-1-PMB-EM-FL-2</v>
      </c>
      <c r="B71" t="s">
        <v>686</v>
      </c>
      <c r="C71" s="74" t="s">
        <v>248</v>
      </c>
      <c r="D71" s="74" t="s">
        <v>929</v>
      </c>
      <c r="E71" s="92">
        <v>45085</v>
      </c>
      <c r="F71" s="95">
        <v>7</v>
      </c>
      <c r="G71" s="96">
        <v>1.47</v>
      </c>
      <c r="H71" s="96">
        <v>0.5</v>
      </c>
    </row>
    <row r="72" spans="1:8" x14ac:dyDescent="0.2">
      <c r="A72" t="str">
        <v>2023-1-PMB-EM-LE-2</v>
      </c>
      <c r="B72" t="s">
        <v>687</v>
      </c>
      <c r="C72" s="74" t="s">
        <v>249</v>
      </c>
      <c r="D72" s="74" t="s">
        <v>929</v>
      </c>
      <c r="E72" s="92">
        <v>45085</v>
      </c>
      <c r="F72" s="95">
        <v>10</v>
      </c>
      <c r="G72" s="96">
        <v>1.64</v>
      </c>
      <c r="H72" s="96">
        <v>0.39</v>
      </c>
    </row>
    <row r="73" spans="1:8" x14ac:dyDescent="0.2">
      <c r="A73" t="str">
        <v>2023-1-PMB-EM-FL-3</v>
      </c>
      <c r="B73" t="s">
        <v>688</v>
      </c>
      <c r="C73" s="74" t="s">
        <v>250</v>
      </c>
      <c r="D73" s="74" t="s">
        <v>929</v>
      </c>
      <c r="E73" s="92">
        <v>45085</v>
      </c>
      <c r="F73" s="95">
        <v>6.4</v>
      </c>
      <c r="G73" s="96">
        <v>1.43</v>
      </c>
      <c r="H73" s="96">
        <v>0.3</v>
      </c>
    </row>
    <row r="74" spans="1:8" x14ac:dyDescent="0.2">
      <c r="A74" t="str">
        <v>2023-1-PMB-EM-LE-3</v>
      </c>
      <c r="B74" t="s">
        <v>689</v>
      </c>
      <c r="C74" s="74" t="s">
        <v>251</v>
      </c>
      <c r="D74" s="74" t="s">
        <v>929</v>
      </c>
      <c r="E74" s="92">
        <v>45085</v>
      </c>
      <c r="F74" s="95">
        <v>8.4</v>
      </c>
      <c r="G74" s="96">
        <v>1.71</v>
      </c>
      <c r="H74" s="96">
        <v>0.25</v>
      </c>
    </row>
    <row r="75" spans="1:8" x14ac:dyDescent="0.2">
      <c r="A75" t="str">
        <v>2023-1-PMB-SR-FL-1</v>
      </c>
      <c r="B75" t="s">
        <v>692</v>
      </c>
      <c r="C75" s="74" t="s">
        <v>252</v>
      </c>
      <c r="D75" s="74" t="s">
        <v>929</v>
      </c>
      <c r="E75" s="92">
        <v>45089</v>
      </c>
      <c r="F75" s="95">
        <v>9.5</v>
      </c>
      <c r="G75" s="96">
        <v>1.74</v>
      </c>
      <c r="H75" s="96">
        <v>0.23</v>
      </c>
    </row>
    <row r="76" spans="1:8" x14ac:dyDescent="0.2">
      <c r="A76" t="str">
        <v>2023-1-PMB-SR-LE-1</v>
      </c>
      <c r="B76" t="s">
        <v>693</v>
      </c>
      <c r="C76" s="74" t="s">
        <v>253</v>
      </c>
      <c r="D76" s="74" t="s">
        <v>929</v>
      </c>
      <c r="E76" s="92">
        <v>45089</v>
      </c>
      <c r="F76" s="95">
        <v>5.9</v>
      </c>
      <c r="G76" s="96">
        <v>2.0299999999999998</v>
      </c>
      <c r="H76" s="96">
        <v>0.17</v>
      </c>
    </row>
    <row r="77" spans="1:8" x14ac:dyDescent="0.2">
      <c r="A77" t="str">
        <v>2023-1-PMB-SR-FL-2</v>
      </c>
      <c r="B77" t="s">
        <v>700</v>
      </c>
      <c r="C77" s="74" t="s">
        <v>254</v>
      </c>
      <c r="D77" s="74" t="s">
        <v>929</v>
      </c>
      <c r="E77" s="92">
        <v>45089</v>
      </c>
      <c r="F77" s="95">
        <v>8.6</v>
      </c>
      <c r="G77" s="96">
        <v>1.93</v>
      </c>
      <c r="H77" s="96">
        <v>0.1</v>
      </c>
    </row>
    <row r="78" spans="1:8" x14ac:dyDescent="0.2">
      <c r="A78" t="str">
        <v>2023-1-PMB-SR-LE-2</v>
      </c>
      <c r="B78" t="s">
        <v>701</v>
      </c>
      <c r="C78" s="74" t="s">
        <v>255</v>
      </c>
      <c r="D78" s="74" t="s">
        <v>929</v>
      </c>
      <c r="E78" s="92">
        <v>45089</v>
      </c>
      <c r="F78" s="95">
        <v>7.4</v>
      </c>
      <c r="G78" s="96">
        <v>1.96</v>
      </c>
      <c r="H78" s="96">
        <v>0.61</v>
      </c>
    </row>
    <row r="79" spans="1:8" x14ac:dyDescent="0.2">
      <c r="A79" t="str">
        <v>2023-1-PMB-SR-FL-3</v>
      </c>
      <c r="B79" t="s">
        <v>702</v>
      </c>
      <c r="C79" s="74" t="s">
        <v>256</v>
      </c>
      <c r="D79" s="74" t="s">
        <v>929</v>
      </c>
      <c r="E79" s="92">
        <v>45089</v>
      </c>
      <c r="F79" s="95">
        <v>5.7</v>
      </c>
      <c r="G79" s="96">
        <v>2.09</v>
      </c>
      <c r="H79" s="96">
        <v>7.0000000000000007E-2</v>
      </c>
    </row>
    <row r="80" spans="1:8" x14ac:dyDescent="0.2">
      <c r="A80" t="str">
        <v>2023-1-PMB-SR-LE-3</v>
      </c>
      <c r="B80" t="s">
        <v>703</v>
      </c>
      <c r="C80" s="74" t="s">
        <v>257</v>
      </c>
      <c r="D80" s="74" t="s">
        <v>929</v>
      </c>
      <c r="E80" s="92">
        <v>45089</v>
      </c>
      <c r="F80" s="95">
        <v>7.4</v>
      </c>
      <c r="G80" s="96">
        <v>2.0299999999999998</v>
      </c>
      <c r="H80" s="96">
        <v>0.09</v>
      </c>
    </row>
    <row r="81" spans="1:8" x14ac:dyDescent="0.2">
      <c r="A81" t="str">
        <v>2023-1-COM-HC-LE-1</v>
      </c>
      <c r="B81" t="s">
        <v>704</v>
      </c>
      <c r="C81" s="74" t="s">
        <v>258</v>
      </c>
      <c r="D81" s="74" t="s">
        <v>929</v>
      </c>
      <c r="E81" s="92">
        <v>45089</v>
      </c>
      <c r="F81" s="95">
        <v>11.6</v>
      </c>
      <c r="G81" s="96">
        <v>2.1</v>
      </c>
      <c r="H81" s="96">
        <v>0.41</v>
      </c>
    </row>
    <row r="82" spans="1:8" x14ac:dyDescent="0.2">
      <c r="A82" t="str">
        <v>2023-1-COM-HC-LE-2</v>
      </c>
      <c r="B82" t="s">
        <v>707</v>
      </c>
      <c r="C82" s="74" t="s">
        <v>259</v>
      </c>
      <c r="D82" s="74" t="s">
        <v>929</v>
      </c>
      <c r="E82" s="92">
        <v>45089</v>
      </c>
      <c r="F82" s="95">
        <v>14.9</v>
      </c>
      <c r="G82" s="96">
        <v>1.91</v>
      </c>
      <c r="H82" s="96">
        <v>0.91</v>
      </c>
    </row>
    <row r="83" spans="1:8" x14ac:dyDescent="0.2">
      <c r="A83" t="str">
        <v>2023-1-COM-HC-LE-3</v>
      </c>
      <c r="B83" t="s">
        <v>708</v>
      </c>
      <c r="C83" s="74" t="s">
        <v>260</v>
      </c>
      <c r="D83" s="74" t="s">
        <v>929</v>
      </c>
      <c r="E83" s="92">
        <v>45089</v>
      </c>
      <c r="F83" s="95">
        <v>19.5</v>
      </c>
      <c r="G83" s="96">
        <v>1.92</v>
      </c>
      <c r="H83" s="96">
        <v>0.2</v>
      </c>
    </row>
    <row r="84" spans="1:8" x14ac:dyDescent="0.2">
      <c r="A84" t="str">
        <v>2023-1-COM-SP-FL-1</v>
      </c>
      <c r="B84" t="s">
        <v>640</v>
      </c>
      <c r="C84" s="74" t="s">
        <v>261</v>
      </c>
      <c r="D84" s="74" t="s">
        <v>929</v>
      </c>
      <c r="E84" s="92">
        <v>45089</v>
      </c>
      <c r="F84" s="95">
        <v>9</v>
      </c>
      <c r="G84" s="96">
        <v>2.02</v>
      </c>
      <c r="H84" s="96">
        <v>0.25</v>
      </c>
    </row>
    <row r="85" spans="1:8" x14ac:dyDescent="0.2">
      <c r="A85" t="str">
        <v>2023-1-COM-SP-LE-1</v>
      </c>
      <c r="B85" t="s">
        <v>641</v>
      </c>
      <c r="C85" s="74" t="s">
        <v>262</v>
      </c>
      <c r="D85" s="74" t="s">
        <v>929</v>
      </c>
      <c r="E85" s="92">
        <v>45089</v>
      </c>
      <c r="F85" s="95">
        <v>9.4</v>
      </c>
      <c r="G85" s="96">
        <v>1.99</v>
      </c>
      <c r="H85" s="96">
        <v>0.61</v>
      </c>
    </row>
    <row r="86" spans="1:8" x14ac:dyDescent="0.2">
      <c r="A86" t="str">
        <v>2023-1-COM-SP-FL-2</v>
      </c>
      <c r="B86" t="s">
        <v>709</v>
      </c>
      <c r="C86" s="74" t="s">
        <v>263</v>
      </c>
      <c r="D86" s="74" t="s">
        <v>929</v>
      </c>
      <c r="E86" s="92">
        <v>45089</v>
      </c>
      <c r="F86" s="95">
        <v>6.5</v>
      </c>
      <c r="G86" s="96">
        <v>2.3199999999999998</v>
      </c>
      <c r="H86" s="96">
        <v>0.11</v>
      </c>
    </row>
    <row r="87" spans="1:8" x14ac:dyDescent="0.2">
      <c r="A87" t="str">
        <v>2023-1-COM-SP-LE-2</v>
      </c>
      <c r="B87" t="s">
        <v>710</v>
      </c>
      <c r="C87" s="74" t="s">
        <v>264</v>
      </c>
      <c r="D87" s="74" t="s">
        <v>929</v>
      </c>
      <c r="E87" s="92">
        <v>45089</v>
      </c>
      <c r="F87" s="95">
        <v>7.7</v>
      </c>
      <c r="G87" s="96">
        <v>1.76</v>
      </c>
      <c r="H87" s="96">
        <v>0.57999999999999996</v>
      </c>
    </row>
    <row r="88" spans="1:8" x14ac:dyDescent="0.2">
      <c r="A88" t="str">
        <v>2023-1-COM-SP-FL-3</v>
      </c>
      <c r="B88" t="s">
        <v>711</v>
      </c>
      <c r="C88" s="74" t="s">
        <v>265</v>
      </c>
      <c r="D88" s="74" t="s">
        <v>929</v>
      </c>
      <c r="E88" s="92">
        <v>45089</v>
      </c>
      <c r="F88" s="95">
        <v>7.6</v>
      </c>
      <c r="G88" s="96">
        <v>1.72</v>
      </c>
      <c r="H88" s="96">
        <v>0.36</v>
      </c>
    </row>
    <row r="89" spans="1:8" x14ac:dyDescent="0.2">
      <c r="A89" t="str">
        <v>2023-1-COM-SP-LE-3</v>
      </c>
      <c r="B89" t="s">
        <v>712</v>
      </c>
      <c r="C89" s="74" t="s">
        <v>266</v>
      </c>
      <c r="D89" s="74" t="s">
        <v>929</v>
      </c>
      <c r="E89" s="92">
        <v>45089</v>
      </c>
      <c r="F89" s="95">
        <v>8.8000000000000007</v>
      </c>
      <c r="G89" s="96">
        <v>1.8</v>
      </c>
      <c r="H89" s="96">
        <v>0.21</v>
      </c>
    </row>
    <row r="90" spans="1:8" x14ac:dyDescent="0.2">
      <c r="A90" t="str">
        <v>2023-1-COM-EM-FL-1</v>
      </c>
      <c r="B90" t="s">
        <v>644</v>
      </c>
      <c r="C90" s="74" t="s">
        <v>267</v>
      </c>
      <c r="D90" s="74" t="s">
        <v>929</v>
      </c>
      <c r="E90" s="92">
        <v>45089</v>
      </c>
      <c r="F90" s="95">
        <v>6.9</v>
      </c>
      <c r="G90" s="96">
        <v>2.0299999999999998</v>
      </c>
      <c r="H90" s="96">
        <v>0.04</v>
      </c>
    </row>
    <row r="91" spans="1:8" x14ac:dyDescent="0.2">
      <c r="A91" t="str">
        <v>2023-1-COM-EM-LE-1</v>
      </c>
      <c r="B91" t="s">
        <v>645</v>
      </c>
      <c r="C91" s="74" t="s">
        <v>268</v>
      </c>
      <c r="D91" s="74" t="s">
        <v>929</v>
      </c>
      <c r="E91" s="92">
        <v>45089</v>
      </c>
      <c r="F91" s="95">
        <v>9.9</v>
      </c>
      <c r="G91" s="96">
        <v>1.76</v>
      </c>
      <c r="H91" s="96">
        <v>0.21</v>
      </c>
    </row>
    <row r="92" spans="1:8" x14ac:dyDescent="0.2">
      <c r="A92" t="str">
        <v>2023-1-COM-EM-FL-2</v>
      </c>
      <c r="B92" t="s">
        <v>713</v>
      </c>
      <c r="C92" s="74" t="s">
        <v>269</v>
      </c>
      <c r="D92" s="74" t="s">
        <v>929</v>
      </c>
      <c r="E92" s="92">
        <v>45089</v>
      </c>
      <c r="F92" s="95">
        <v>8.1</v>
      </c>
      <c r="G92" s="96">
        <v>1.78</v>
      </c>
      <c r="H92" s="96">
        <v>0.11</v>
      </c>
    </row>
    <row r="93" spans="1:8" x14ac:dyDescent="0.2">
      <c r="A93" t="str">
        <v>2023-1-COM-EM-LE-2</v>
      </c>
      <c r="B93" t="s">
        <v>714</v>
      </c>
      <c r="C93" s="74" t="s">
        <v>270</v>
      </c>
      <c r="D93" s="74" t="s">
        <v>929</v>
      </c>
      <c r="E93" s="92">
        <v>45089</v>
      </c>
      <c r="F93" s="95">
        <v>8.3000000000000007</v>
      </c>
      <c r="G93" s="96">
        <v>1.79</v>
      </c>
      <c r="H93" s="96">
        <v>0.05</v>
      </c>
    </row>
    <row r="94" spans="1:8" x14ac:dyDescent="0.2">
      <c r="A94" t="str">
        <v>2023-1-COM-EM-FL-3</v>
      </c>
      <c r="B94" t="s">
        <v>715</v>
      </c>
      <c r="C94" s="74" t="s">
        <v>271</v>
      </c>
      <c r="D94" s="74" t="s">
        <v>929</v>
      </c>
      <c r="E94" s="92">
        <v>45089</v>
      </c>
      <c r="F94" s="95">
        <v>8.6999999999999993</v>
      </c>
      <c r="G94" s="96">
        <v>1.58</v>
      </c>
      <c r="H94" s="96">
        <v>0.5</v>
      </c>
    </row>
    <row r="95" spans="1:8" x14ac:dyDescent="0.2">
      <c r="A95" t="str">
        <v>2023-1-COM-EM-LE-3</v>
      </c>
      <c r="B95" t="s">
        <v>716</v>
      </c>
      <c r="C95" s="74" t="s">
        <v>272</v>
      </c>
      <c r="D95" s="74" t="s">
        <v>929</v>
      </c>
      <c r="E95" s="92">
        <v>45089</v>
      </c>
      <c r="F95" s="95">
        <v>9.5</v>
      </c>
      <c r="G95" s="96">
        <v>1.76</v>
      </c>
      <c r="H95" s="96">
        <v>0.15</v>
      </c>
    </row>
    <row r="96" spans="1:8" x14ac:dyDescent="0.2">
      <c r="A96" t="str">
        <v>2023-1-COM-SR-FL-1</v>
      </c>
      <c r="B96" t="s">
        <v>696</v>
      </c>
      <c r="C96" s="74" t="s">
        <v>273</v>
      </c>
      <c r="D96" s="74" t="s">
        <v>929</v>
      </c>
      <c r="E96" s="92">
        <v>45089</v>
      </c>
      <c r="F96" s="95">
        <v>11.7</v>
      </c>
      <c r="G96" s="96">
        <v>1.69</v>
      </c>
      <c r="H96" s="96">
        <v>0.09</v>
      </c>
    </row>
    <row r="97" spans="1:8" x14ac:dyDescent="0.2">
      <c r="A97" t="str">
        <v>2023-1-COM-SR-LE-1</v>
      </c>
      <c r="B97" t="s">
        <v>697</v>
      </c>
      <c r="C97" s="74" t="s">
        <v>274</v>
      </c>
      <c r="D97" s="74" t="s">
        <v>929</v>
      </c>
      <c r="E97" s="92">
        <v>45089</v>
      </c>
      <c r="F97" s="95">
        <v>13.4</v>
      </c>
      <c r="G97" s="96">
        <v>1.63</v>
      </c>
      <c r="H97" s="96">
        <v>0.38</v>
      </c>
    </row>
    <row r="98" spans="1:8" x14ac:dyDescent="0.2">
      <c r="A98" t="str">
        <v>2023-1-COM-SR-FL-2</v>
      </c>
      <c r="B98" t="s">
        <v>717</v>
      </c>
      <c r="C98" s="74" t="s">
        <v>275</v>
      </c>
      <c r="D98" s="74" t="s">
        <v>929</v>
      </c>
      <c r="E98" s="92">
        <v>45089</v>
      </c>
      <c r="F98" s="95">
        <v>7.2</v>
      </c>
      <c r="G98" s="96">
        <v>1.68</v>
      </c>
      <c r="H98" s="96">
        <v>0.08</v>
      </c>
    </row>
    <row r="99" spans="1:8" x14ac:dyDescent="0.2">
      <c r="A99" t="str">
        <v>2023-1-COM-SR-LE-2</v>
      </c>
      <c r="B99" t="s">
        <v>718</v>
      </c>
      <c r="C99" s="74" t="s">
        <v>276</v>
      </c>
      <c r="D99" s="74" t="s">
        <v>929</v>
      </c>
      <c r="E99" s="92">
        <v>45090</v>
      </c>
      <c r="F99" s="95">
        <v>6.5</v>
      </c>
      <c r="G99" s="96">
        <v>1.97</v>
      </c>
      <c r="H99" s="96">
        <v>0.49</v>
      </c>
    </row>
    <row r="100" spans="1:8" x14ac:dyDescent="0.2">
      <c r="A100" t="str">
        <v>2023-1-COM-SR-FL-3</v>
      </c>
      <c r="B100" t="s">
        <v>719</v>
      </c>
      <c r="C100" s="74" t="s">
        <v>277</v>
      </c>
      <c r="D100" s="74" t="s">
        <v>929</v>
      </c>
      <c r="E100" s="92">
        <v>45090</v>
      </c>
      <c r="F100" s="95">
        <v>6.9</v>
      </c>
      <c r="G100" s="96">
        <v>1.88</v>
      </c>
      <c r="H100" s="96">
        <v>0.66</v>
      </c>
    </row>
    <row r="101" spans="1:8" x14ac:dyDescent="0.2">
      <c r="A101" t="str">
        <v>2023-1-COM-SR-LE-3</v>
      </c>
      <c r="B101" t="s">
        <v>720</v>
      </c>
      <c r="C101" s="74" t="s">
        <v>278</v>
      </c>
      <c r="D101" s="74" t="s">
        <v>929</v>
      </c>
      <c r="E101" s="92">
        <v>45090</v>
      </c>
      <c r="F101" s="95">
        <v>7</v>
      </c>
      <c r="G101" s="96">
        <v>1.96</v>
      </c>
      <c r="H101" s="96">
        <v>0.27</v>
      </c>
    </row>
    <row r="102" spans="1:8" x14ac:dyDescent="0.2">
      <c r="A102" t="str">
        <v>2023-1-VBS-CL-FL-1</v>
      </c>
      <c r="B102" t="s">
        <v>721</v>
      </c>
      <c r="C102" s="74" t="s">
        <v>279</v>
      </c>
      <c r="D102" s="74" t="s">
        <v>930</v>
      </c>
      <c r="E102" s="92">
        <v>45090</v>
      </c>
      <c r="F102" s="95">
        <v>10.8</v>
      </c>
      <c r="G102" s="96">
        <v>1.74</v>
      </c>
      <c r="H102" s="96">
        <v>0.35</v>
      </c>
    </row>
    <row r="103" spans="1:8" x14ac:dyDescent="0.2">
      <c r="A103" t="str">
        <v>2023-1-VBS-CL-LE-1</v>
      </c>
      <c r="B103" t="s">
        <v>722</v>
      </c>
      <c r="C103" s="74" t="s">
        <v>280</v>
      </c>
      <c r="D103" s="74" t="s">
        <v>930</v>
      </c>
      <c r="E103" s="92">
        <v>45090</v>
      </c>
      <c r="F103" s="95">
        <v>7.6</v>
      </c>
      <c r="G103" s="96">
        <v>1.93</v>
      </c>
      <c r="H103" s="96">
        <v>0.03</v>
      </c>
    </row>
    <row r="104" spans="1:8" x14ac:dyDescent="0.2">
      <c r="A104" t="str">
        <v>2023-1-VBS-CL-FL-2</v>
      </c>
      <c r="B104" t="s">
        <v>725</v>
      </c>
      <c r="C104" s="74" t="s">
        <v>281</v>
      </c>
      <c r="D104" s="74" t="s">
        <v>930</v>
      </c>
      <c r="E104" s="92">
        <v>45090</v>
      </c>
      <c r="F104" s="95">
        <v>16.2</v>
      </c>
      <c r="G104" s="96">
        <v>1.97</v>
      </c>
      <c r="H104" s="96">
        <v>0.32</v>
      </c>
    </row>
    <row r="105" spans="1:8" x14ac:dyDescent="0.2">
      <c r="A105" t="str">
        <v>2023-1-VBS-CL-LE-2</v>
      </c>
      <c r="B105" t="s">
        <v>726</v>
      </c>
      <c r="C105" s="74" t="s">
        <v>282</v>
      </c>
      <c r="D105" s="74" t="s">
        <v>930</v>
      </c>
      <c r="E105" s="92">
        <v>45090</v>
      </c>
      <c r="F105" s="95">
        <v>19.8</v>
      </c>
      <c r="G105" s="96">
        <v>1.84</v>
      </c>
      <c r="H105" s="96">
        <v>0.49</v>
      </c>
    </row>
    <row r="106" spans="1:8" x14ac:dyDescent="0.2">
      <c r="A106" t="str">
        <v>2023-1-VBS-CL-FL-3</v>
      </c>
      <c r="B106" t="s">
        <v>727</v>
      </c>
      <c r="C106" s="74" t="s">
        <v>283</v>
      </c>
      <c r="D106" s="74" t="s">
        <v>930</v>
      </c>
      <c r="E106" s="92">
        <v>45090</v>
      </c>
      <c r="F106" s="95">
        <v>8.6</v>
      </c>
      <c r="G106" s="96">
        <v>1.95</v>
      </c>
      <c r="H106" s="96">
        <v>0.08</v>
      </c>
    </row>
    <row r="107" spans="1:8" x14ac:dyDescent="0.2">
      <c r="A107" t="str">
        <v>2023-1-VBS-CL-LE-3</v>
      </c>
      <c r="B107" t="s">
        <v>728</v>
      </c>
      <c r="C107" s="74" t="s">
        <v>284</v>
      </c>
      <c r="D107" s="74" t="s">
        <v>930</v>
      </c>
      <c r="E107" s="92">
        <v>45090</v>
      </c>
      <c r="F107" s="95">
        <v>9.3000000000000007</v>
      </c>
      <c r="G107" s="96">
        <v>1.98</v>
      </c>
      <c r="H107" s="96">
        <v>0.44</v>
      </c>
    </row>
    <row r="108" spans="1:8" x14ac:dyDescent="0.2">
      <c r="A108" t="str">
        <v>2023-1-VBS-PR-FL-1</v>
      </c>
      <c r="B108" t="s">
        <v>729</v>
      </c>
      <c r="C108" s="74" t="s">
        <v>285</v>
      </c>
      <c r="D108" s="74" t="s">
        <v>930</v>
      </c>
      <c r="E108" s="92">
        <v>45090</v>
      </c>
      <c r="F108" s="95">
        <v>10.6</v>
      </c>
      <c r="G108" s="96">
        <v>1.73</v>
      </c>
      <c r="H108" s="96">
        <v>0.4</v>
      </c>
    </row>
    <row r="109" spans="1:8" x14ac:dyDescent="0.2">
      <c r="A109" t="str">
        <v>2023-1-VBS-PR-LE-1</v>
      </c>
      <c r="B109" t="s">
        <v>730</v>
      </c>
      <c r="C109" s="74" t="s">
        <v>286</v>
      </c>
      <c r="D109" s="74" t="s">
        <v>930</v>
      </c>
      <c r="E109" s="92">
        <v>45090</v>
      </c>
      <c r="F109" s="95">
        <v>5.5</v>
      </c>
      <c r="G109" s="96">
        <v>2.0099999999999998</v>
      </c>
      <c r="H109" s="96">
        <v>0.23</v>
      </c>
    </row>
    <row r="110" spans="1:8" x14ac:dyDescent="0.2">
      <c r="A110" t="str">
        <v>2023-1-VBS-PR-FL-2</v>
      </c>
      <c r="B110" t="s">
        <v>733</v>
      </c>
      <c r="C110" s="74" t="s">
        <v>287</v>
      </c>
      <c r="D110" s="74" t="s">
        <v>930</v>
      </c>
      <c r="E110" s="92">
        <v>45090</v>
      </c>
      <c r="F110" s="95">
        <v>15.3</v>
      </c>
      <c r="G110" s="96">
        <v>1.47</v>
      </c>
      <c r="H110" s="96">
        <v>0.21</v>
      </c>
    </row>
    <row r="111" spans="1:8" x14ac:dyDescent="0.2">
      <c r="A111" t="str">
        <v>2023-1-VBS-PR-LE-2</v>
      </c>
      <c r="B111" t="s">
        <v>734</v>
      </c>
      <c r="C111" s="74" t="s">
        <v>288</v>
      </c>
      <c r="D111" s="74" t="s">
        <v>930</v>
      </c>
      <c r="E111" s="92">
        <v>45090</v>
      </c>
      <c r="F111" s="95">
        <v>7.4</v>
      </c>
      <c r="G111" s="96">
        <v>2.12</v>
      </c>
      <c r="H111" s="96">
        <v>0.04</v>
      </c>
    </row>
    <row r="112" spans="1:8" x14ac:dyDescent="0.2">
      <c r="A112" t="str">
        <v>2023-1-VBS-PR-FL-3</v>
      </c>
      <c r="B112" t="s">
        <v>735</v>
      </c>
      <c r="C112" s="74" t="s">
        <v>289</v>
      </c>
      <c r="D112" s="74" t="s">
        <v>930</v>
      </c>
      <c r="E112" s="92">
        <v>45090</v>
      </c>
      <c r="F112" s="95">
        <v>12.7</v>
      </c>
      <c r="G112" s="96">
        <v>1.62</v>
      </c>
      <c r="H112" s="96">
        <v>0.28000000000000003</v>
      </c>
    </row>
    <row r="113" spans="1:8" x14ac:dyDescent="0.2">
      <c r="A113" t="str">
        <v>2023-1-VBS-PR-LE-3</v>
      </c>
      <c r="B113" t="s">
        <v>736</v>
      </c>
      <c r="C113" s="74" t="s">
        <v>290</v>
      </c>
      <c r="D113" s="74" t="s">
        <v>930</v>
      </c>
      <c r="E113" s="92">
        <v>45090</v>
      </c>
      <c r="F113" s="95">
        <v>9.1999999999999993</v>
      </c>
      <c r="G113" s="96">
        <v>1.89</v>
      </c>
      <c r="H113" s="96">
        <v>0.43</v>
      </c>
    </row>
    <row r="114" spans="1:8" x14ac:dyDescent="0.2">
      <c r="A114" t="str">
        <v>2023-1-VBS-HC-FL-1</v>
      </c>
      <c r="B114" t="s">
        <v>737</v>
      </c>
      <c r="C114" s="74" t="s">
        <v>291</v>
      </c>
      <c r="D114" s="74" t="s">
        <v>930</v>
      </c>
      <c r="E114" s="92">
        <v>45090</v>
      </c>
      <c r="F114" s="95">
        <v>9</v>
      </c>
      <c r="G114" s="96">
        <v>1.84</v>
      </c>
      <c r="H114" s="96">
        <v>0.32</v>
      </c>
    </row>
    <row r="115" spans="1:8" x14ac:dyDescent="0.2">
      <c r="A115" t="str">
        <v>2023-1-VBS-HC-LE-1</v>
      </c>
      <c r="B115" t="s">
        <v>738</v>
      </c>
      <c r="C115" s="74" t="s">
        <v>292</v>
      </c>
      <c r="D115" s="74" t="s">
        <v>930</v>
      </c>
      <c r="E115" s="92">
        <v>45090</v>
      </c>
      <c r="F115" s="95">
        <v>10.5</v>
      </c>
      <c r="G115" s="96">
        <v>2</v>
      </c>
      <c r="H115" s="96">
        <v>0.28000000000000003</v>
      </c>
    </row>
    <row r="116" spans="1:8" x14ac:dyDescent="0.2">
      <c r="A116" t="str">
        <v>2023-1-VBS-HC-FL-2</v>
      </c>
      <c r="B116" t="s">
        <v>741</v>
      </c>
      <c r="C116" s="74" t="s">
        <v>293</v>
      </c>
      <c r="D116" s="74" t="s">
        <v>930</v>
      </c>
      <c r="E116" s="92">
        <v>45090</v>
      </c>
      <c r="F116" s="95">
        <v>10.3</v>
      </c>
      <c r="G116" s="96">
        <v>1.81</v>
      </c>
      <c r="H116" s="96">
        <v>0.35</v>
      </c>
    </row>
    <row r="117" spans="1:8" x14ac:dyDescent="0.2">
      <c r="A117" t="str">
        <v>2023-1-VBS-HC-LE-2</v>
      </c>
      <c r="B117" t="s">
        <v>742</v>
      </c>
      <c r="C117" s="74" t="s">
        <v>294</v>
      </c>
      <c r="D117" s="74" t="s">
        <v>930</v>
      </c>
      <c r="E117" s="92">
        <v>45090</v>
      </c>
      <c r="F117" s="95">
        <v>7.4</v>
      </c>
      <c r="G117" s="96">
        <v>2.04</v>
      </c>
      <c r="H117" s="96">
        <v>0.2</v>
      </c>
    </row>
    <row r="118" spans="1:8" x14ac:dyDescent="0.2">
      <c r="A118" t="str">
        <v>2023-1-VBS-HC-FL-3</v>
      </c>
      <c r="B118" t="s">
        <v>743</v>
      </c>
      <c r="C118" s="74" t="s">
        <v>295</v>
      </c>
      <c r="D118" s="74" t="s">
        <v>930</v>
      </c>
      <c r="E118" s="92">
        <v>45090</v>
      </c>
      <c r="F118" s="95">
        <v>7</v>
      </c>
      <c r="G118" s="96">
        <v>1.9</v>
      </c>
      <c r="H118" s="96">
        <v>7.0000000000000007E-2</v>
      </c>
    </row>
    <row r="119" spans="1:8" x14ac:dyDescent="0.2">
      <c r="A119" t="str">
        <v>2023-1-VBS-HC-LE-3</v>
      </c>
      <c r="B119" t="s">
        <v>744</v>
      </c>
      <c r="C119" s="74" t="s">
        <v>296</v>
      </c>
      <c r="D119" s="74" t="s">
        <v>930</v>
      </c>
      <c r="E119" s="92">
        <v>45090</v>
      </c>
      <c r="F119" s="95">
        <v>5.2</v>
      </c>
      <c r="G119" s="96">
        <v>1.9</v>
      </c>
      <c r="H119" s="96">
        <v>0.14000000000000001</v>
      </c>
    </row>
    <row r="120" spans="1:8" x14ac:dyDescent="0.2">
      <c r="A120" t="str">
        <v>2023-1-VBS-SP-FL-1</v>
      </c>
      <c r="B120" t="s">
        <v>648</v>
      </c>
      <c r="C120" s="74" t="s">
        <v>297</v>
      </c>
      <c r="D120" s="74" t="s">
        <v>930</v>
      </c>
      <c r="E120" s="92">
        <v>45090</v>
      </c>
      <c r="F120" s="95">
        <v>12.3</v>
      </c>
      <c r="G120" s="96">
        <v>1.64</v>
      </c>
      <c r="H120" s="96">
        <v>0.37</v>
      </c>
    </row>
    <row r="121" spans="1:8" x14ac:dyDescent="0.2">
      <c r="A121" t="str">
        <v>2023-1-VBS-SP-LE-1</v>
      </c>
      <c r="B121" t="s">
        <v>649</v>
      </c>
      <c r="C121" s="74" t="s">
        <v>298</v>
      </c>
      <c r="D121" s="74" t="s">
        <v>930</v>
      </c>
      <c r="E121" s="92">
        <v>45090</v>
      </c>
      <c r="F121" s="95">
        <v>7.1</v>
      </c>
      <c r="G121" s="96">
        <v>2.2200000000000002</v>
      </c>
      <c r="H121" s="96">
        <v>0.03</v>
      </c>
    </row>
    <row r="122" spans="1:8" x14ac:dyDescent="0.2">
      <c r="A122" t="str">
        <v>2023-1-VBS-SP-FL-2</v>
      </c>
      <c r="B122" t="s">
        <v>745</v>
      </c>
      <c r="C122" s="74" t="s">
        <v>299</v>
      </c>
      <c r="D122" s="74" t="s">
        <v>930</v>
      </c>
      <c r="E122" s="92">
        <v>45090</v>
      </c>
      <c r="F122" s="95">
        <v>11.2</v>
      </c>
      <c r="G122" s="96">
        <v>1.6</v>
      </c>
      <c r="H122" s="96">
        <v>0.47</v>
      </c>
    </row>
    <row r="123" spans="1:8" x14ac:dyDescent="0.2">
      <c r="A123" t="str">
        <v>2023-1-VBS-SP-LE-2</v>
      </c>
      <c r="B123" t="s">
        <v>746</v>
      </c>
      <c r="C123" s="74" t="s">
        <v>300</v>
      </c>
      <c r="D123" s="74" t="s">
        <v>930</v>
      </c>
      <c r="E123" s="92">
        <v>45092</v>
      </c>
      <c r="F123" s="95">
        <v>6.7</v>
      </c>
      <c r="G123" s="96">
        <v>1.73</v>
      </c>
      <c r="H123" s="96">
        <v>0.05</v>
      </c>
    </row>
    <row r="124" spans="1:8" x14ac:dyDescent="0.2">
      <c r="A124" t="str">
        <v>2023-1-VBS-SP-FL-3</v>
      </c>
      <c r="B124" t="s">
        <v>747</v>
      </c>
      <c r="C124" s="74" t="s">
        <v>301</v>
      </c>
      <c r="D124" s="74" t="s">
        <v>930</v>
      </c>
      <c r="E124" s="92">
        <v>45092</v>
      </c>
      <c r="F124" s="95">
        <v>7.7</v>
      </c>
      <c r="G124" s="96">
        <v>1.61</v>
      </c>
      <c r="H124" s="96">
        <v>0.11</v>
      </c>
    </row>
    <row r="125" spans="1:8" x14ac:dyDescent="0.2">
      <c r="A125" t="str">
        <v>2023-1-VBS-SP-LE-3</v>
      </c>
      <c r="B125" t="s">
        <v>748</v>
      </c>
      <c r="C125" s="74" t="s">
        <v>302</v>
      </c>
      <c r="D125" s="74" t="s">
        <v>930</v>
      </c>
      <c r="E125" s="92">
        <v>45092</v>
      </c>
      <c r="F125" s="95">
        <v>7.1</v>
      </c>
      <c r="G125" s="96">
        <v>1.86</v>
      </c>
      <c r="H125" s="96">
        <v>0.17</v>
      </c>
    </row>
    <row r="126" spans="1:8" x14ac:dyDescent="0.2">
      <c r="A126" t="str">
        <v>2023-1-VBS-LI-FL-1</v>
      </c>
      <c r="B126" t="s">
        <v>652</v>
      </c>
      <c r="C126" s="74" t="s">
        <v>303</v>
      </c>
      <c r="D126" s="74" t="s">
        <v>930</v>
      </c>
      <c r="E126" s="92">
        <v>45092</v>
      </c>
      <c r="F126" s="95">
        <v>6.6</v>
      </c>
      <c r="G126" s="96">
        <v>1.89</v>
      </c>
      <c r="H126" s="96">
        <v>0.05</v>
      </c>
    </row>
    <row r="127" spans="1:8" x14ac:dyDescent="0.2">
      <c r="A127" t="str">
        <v>2023-1-VBS-LI-LE-1</v>
      </c>
      <c r="B127" t="s">
        <v>653</v>
      </c>
      <c r="C127" s="74" t="s">
        <v>304</v>
      </c>
      <c r="D127" s="74" t="s">
        <v>930</v>
      </c>
      <c r="E127" s="92">
        <v>45092</v>
      </c>
      <c r="F127" s="95">
        <v>7.9</v>
      </c>
      <c r="G127" s="96">
        <v>1.87</v>
      </c>
      <c r="H127" s="96">
        <v>0.33</v>
      </c>
    </row>
    <row r="128" spans="1:8" x14ac:dyDescent="0.2">
      <c r="A128" t="str">
        <v>2023-1-VBS-LI-FL-2</v>
      </c>
      <c r="B128" t="s">
        <v>749</v>
      </c>
      <c r="C128" s="74" t="s">
        <v>305</v>
      </c>
      <c r="D128" s="74" t="s">
        <v>930</v>
      </c>
      <c r="E128" s="92">
        <v>45092</v>
      </c>
      <c r="F128" s="95">
        <v>7.7</v>
      </c>
      <c r="G128" s="96">
        <v>1.77</v>
      </c>
      <c r="H128" s="96">
        <v>0.17</v>
      </c>
    </row>
    <row r="129" spans="1:8" x14ac:dyDescent="0.2">
      <c r="A129" t="str">
        <v>2023-1-VBS-LI-LE-2</v>
      </c>
      <c r="B129" t="s">
        <v>750</v>
      </c>
      <c r="C129" s="74" t="s">
        <v>306</v>
      </c>
      <c r="D129" s="74" t="s">
        <v>930</v>
      </c>
      <c r="E129" s="92">
        <v>45092</v>
      </c>
      <c r="F129" s="95">
        <v>7.3</v>
      </c>
      <c r="G129" s="96">
        <v>1.88</v>
      </c>
      <c r="H129" s="96">
        <v>0.09</v>
      </c>
    </row>
    <row r="130" spans="1:8" x14ac:dyDescent="0.2">
      <c r="A130" t="str">
        <v>2023-1-VBS-LI-FL-3</v>
      </c>
      <c r="B130" t="s">
        <v>751</v>
      </c>
      <c r="C130" s="74" t="s">
        <v>307</v>
      </c>
      <c r="D130" s="74" t="s">
        <v>930</v>
      </c>
      <c r="E130" s="92">
        <v>45092</v>
      </c>
      <c r="F130" s="95">
        <v>7.8</v>
      </c>
      <c r="G130" s="96">
        <v>1.76</v>
      </c>
      <c r="H130" s="96">
        <v>0.17</v>
      </c>
    </row>
    <row r="131" spans="1:8" x14ac:dyDescent="0.2">
      <c r="A131" t="str">
        <v>2023-1-VBS-LI-LE-3</v>
      </c>
      <c r="B131" t="s">
        <v>752</v>
      </c>
      <c r="C131" s="74" t="s">
        <v>308</v>
      </c>
      <c r="D131" s="74" t="s">
        <v>930</v>
      </c>
      <c r="E131" s="92">
        <v>45092</v>
      </c>
      <c r="F131" s="95">
        <v>7</v>
      </c>
      <c r="G131" s="96">
        <v>1.72</v>
      </c>
      <c r="H131" s="96">
        <v>0.14000000000000001</v>
      </c>
    </row>
    <row r="132" spans="1:8" x14ac:dyDescent="0.2">
      <c r="A132" t="str">
        <v>2023-1-VBS-FR-FL-1</v>
      </c>
      <c r="B132" t="s">
        <v>656</v>
      </c>
      <c r="C132" s="74" t="s">
        <v>309</v>
      </c>
      <c r="D132" s="74" t="s">
        <v>930</v>
      </c>
      <c r="E132" s="92">
        <v>45092</v>
      </c>
      <c r="F132" s="95">
        <v>4.5</v>
      </c>
      <c r="G132" s="96">
        <v>2.52</v>
      </c>
      <c r="H132" s="96">
        <v>0.11</v>
      </c>
    </row>
    <row r="133" spans="1:8" x14ac:dyDescent="0.2">
      <c r="A133" t="str">
        <v>2023-1-VBS-FR-LE-1</v>
      </c>
      <c r="B133" t="s">
        <v>657</v>
      </c>
      <c r="C133" s="74" t="s">
        <v>310</v>
      </c>
      <c r="D133" s="74" t="s">
        <v>930</v>
      </c>
      <c r="E133" s="92">
        <v>45092</v>
      </c>
      <c r="F133" s="95">
        <v>7.9</v>
      </c>
      <c r="G133" s="96">
        <v>1.82</v>
      </c>
      <c r="H133" s="96">
        <v>0.2</v>
      </c>
    </row>
    <row r="134" spans="1:8" x14ac:dyDescent="0.2">
      <c r="A134" t="str">
        <v>2023-1-VBS-FR-FL-2</v>
      </c>
      <c r="B134" t="s">
        <v>753</v>
      </c>
      <c r="C134" s="74" t="s">
        <v>311</v>
      </c>
      <c r="D134" s="74" t="s">
        <v>930</v>
      </c>
      <c r="E134" s="92">
        <v>45092</v>
      </c>
      <c r="F134" s="95">
        <v>6</v>
      </c>
      <c r="G134" s="96">
        <v>2.0299999999999998</v>
      </c>
      <c r="H134" s="96">
        <v>0.09</v>
      </c>
    </row>
    <row r="135" spans="1:8" x14ac:dyDescent="0.2">
      <c r="A135" t="str">
        <v>2023-1-VBS-FR-LE-2</v>
      </c>
      <c r="B135" t="s">
        <v>754</v>
      </c>
      <c r="C135" s="74" t="s">
        <v>312</v>
      </c>
      <c r="D135" s="74" t="s">
        <v>930</v>
      </c>
      <c r="E135" s="92">
        <v>45092</v>
      </c>
      <c r="F135" s="95">
        <v>6.7</v>
      </c>
      <c r="G135" s="96">
        <v>1.73</v>
      </c>
      <c r="H135" s="96">
        <v>0.14000000000000001</v>
      </c>
    </row>
    <row r="136" spans="1:8" x14ac:dyDescent="0.2">
      <c r="A136" t="str">
        <v>2023-1-VBS-FR-FL-3</v>
      </c>
      <c r="B136" t="s">
        <v>755</v>
      </c>
      <c r="C136" s="74" t="s">
        <v>313</v>
      </c>
      <c r="D136" s="74" t="s">
        <v>930</v>
      </c>
      <c r="E136" s="92">
        <v>45092</v>
      </c>
      <c r="F136" s="95">
        <v>10.4</v>
      </c>
      <c r="G136" s="96">
        <v>1.82</v>
      </c>
      <c r="H136" s="96">
        <v>0.48</v>
      </c>
    </row>
    <row r="137" spans="1:8" x14ac:dyDescent="0.2">
      <c r="A137" t="str">
        <v>2023-1-VBS-FR-LE-3</v>
      </c>
      <c r="B137" t="s">
        <v>756</v>
      </c>
      <c r="C137" s="74" t="s">
        <v>314</v>
      </c>
      <c r="D137" s="74" t="s">
        <v>930</v>
      </c>
      <c r="E137" s="92">
        <v>45092</v>
      </c>
      <c r="F137" s="95">
        <v>9.9</v>
      </c>
      <c r="G137" s="96">
        <v>1.82</v>
      </c>
      <c r="H137" s="96">
        <v>7.0000000000000007E-2</v>
      </c>
    </row>
    <row r="138" spans="1:8" x14ac:dyDescent="0.2">
      <c r="A138" t="str">
        <v>2023-1-MIC-CL-LE-1</v>
      </c>
      <c r="B138" t="s">
        <v>757</v>
      </c>
      <c r="C138" s="74" t="s">
        <v>315</v>
      </c>
      <c r="D138" s="74" t="s">
        <v>931</v>
      </c>
      <c r="E138" s="92">
        <v>45092</v>
      </c>
      <c r="F138" s="95">
        <v>7.6</v>
      </c>
      <c r="G138" s="96">
        <v>1.71</v>
      </c>
      <c r="H138" s="96">
        <v>0.31</v>
      </c>
    </row>
    <row r="139" spans="1:8" x14ac:dyDescent="0.2">
      <c r="A139" t="str">
        <v>2023-1-MIC-CL-LE-2</v>
      </c>
      <c r="B139" t="s">
        <v>760</v>
      </c>
      <c r="C139" s="74" t="s">
        <v>316</v>
      </c>
      <c r="D139" s="74" t="s">
        <v>931</v>
      </c>
      <c r="E139" s="92">
        <v>45092</v>
      </c>
      <c r="F139" s="95">
        <v>7.9</v>
      </c>
      <c r="G139" s="96">
        <v>1.48</v>
      </c>
      <c r="H139" s="96">
        <v>0.08</v>
      </c>
    </row>
    <row r="140" spans="1:8" x14ac:dyDescent="0.2">
      <c r="A140" t="str">
        <v>2023-1-MIC-CL-LE-3</v>
      </c>
      <c r="B140" t="s">
        <v>761</v>
      </c>
      <c r="C140" s="74" t="s">
        <v>317</v>
      </c>
      <c r="D140" s="74" t="s">
        <v>931</v>
      </c>
      <c r="E140" s="92">
        <v>45092</v>
      </c>
      <c r="F140" s="95">
        <v>6.8</v>
      </c>
      <c r="G140" s="96">
        <v>1.51</v>
      </c>
      <c r="H140" s="96">
        <v>0.32</v>
      </c>
    </row>
    <row r="141" spans="1:8" x14ac:dyDescent="0.2">
      <c r="A141" t="str">
        <v>2023-1-MIC-HC-LE-1</v>
      </c>
      <c r="B141" t="s">
        <v>762</v>
      </c>
      <c r="C141" s="74" t="s">
        <v>318</v>
      </c>
      <c r="D141" s="74" t="s">
        <v>931</v>
      </c>
      <c r="E141" s="92">
        <v>45092</v>
      </c>
      <c r="F141" s="95">
        <v>7.3</v>
      </c>
      <c r="G141" s="96">
        <v>1.55</v>
      </c>
      <c r="H141" s="96">
        <v>7.0000000000000007E-2</v>
      </c>
    </row>
    <row r="142" spans="1:8" x14ac:dyDescent="0.2">
      <c r="A142" t="str">
        <v>2023-1-MIC-HC-LE-2</v>
      </c>
      <c r="B142" t="s">
        <v>765</v>
      </c>
      <c r="C142" s="74" t="s">
        <v>319</v>
      </c>
      <c r="D142" s="74" t="s">
        <v>931</v>
      </c>
      <c r="E142" s="92">
        <v>45092</v>
      </c>
      <c r="F142" s="95">
        <v>7.5</v>
      </c>
      <c r="G142" s="96">
        <v>1.57</v>
      </c>
      <c r="H142" s="96">
        <v>0.4</v>
      </c>
    </row>
    <row r="143" spans="1:8" x14ac:dyDescent="0.2">
      <c r="A143" t="str">
        <v>2023-1-MIC-HC-LE-3</v>
      </c>
      <c r="B143" t="s">
        <v>766</v>
      </c>
      <c r="C143" s="74" t="s">
        <v>320</v>
      </c>
      <c r="D143" s="74" t="s">
        <v>931</v>
      </c>
      <c r="E143" s="92">
        <v>45092</v>
      </c>
      <c r="F143" s="95">
        <v>10</v>
      </c>
      <c r="G143" s="96">
        <v>1.59</v>
      </c>
      <c r="H143" s="96">
        <v>0.14000000000000001</v>
      </c>
    </row>
    <row r="144" spans="1:8" x14ac:dyDescent="0.2">
      <c r="A144" t="str">
        <v>2023-1-MIC-SP-LE-1</v>
      </c>
      <c r="B144" t="s">
        <v>660</v>
      </c>
      <c r="C144" s="74" t="s">
        <v>321</v>
      </c>
      <c r="D144" s="74" t="s">
        <v>931</v>
      </c>
      <c r="E144" s="92">
        <v>45092</v>
      </c>
      <c r="F144" s="95">
        <v>9.1999999999999993</v>
      </c>
      <c r="G144" s="96">
        <v>1.63</v>
      </c>
      <c r="H144" s="96">
        <v>0.42</v>
      </c>
    </row>
    <row r="145" spans="1:8" x14ac:dyDescent="0.2">
      <c r="A145" t="str">
        <v>2023-1-MIC-SP-LE-2</v>
      </c>
      <c r="B145" t="s">
        <v>767</v>
      </c>
      <c r="C145" s="74" t="s">
        <v>322</v>
      </c>
      <c r="D145" s="74" t="s">
        <v>931</v>
      </c>
      <c r="E145" s="92">
        <v>45092</v>
      </c>
      <c r="F145" s="95">
        <v>8.6</v>
      </c>
      <c r="G145" s="96">
        <v>1.51</v>
      </c>
      <c r="H145" s="96">
        <v>0.13</v>
      </c>
    </row>
    <row r="146" spans="1:8" x14ac:dyDescent="0.2">
      <c r="A146" t="str">
        <v>2023-1-MIC-SP-LE-3</v>
      </c>
      <c r="B146" t="s">
        <v>768</v>
      </c>
      <c r="C146" s="74" t="s">
        <v>323</v>
      </c>
      <c r="D146" s="74" t="s">
        <v>931</v>
      </c>
      <c r="E146" s="92">
        <v>45092</v>
      </c>
      <c r="F146" s="95">
        <v>6.9</v>
      </c>
      <c r="G146" s="96">
        <v>1.52</v>
      </c>
      <c r="H146" s="96">
        <v>0.4</v>
      </c>
    </row>
    <row r="147" spans="1:8" x14ac:dyDescent="0.2">
      <c r="A147" t="str">
        <v>2023-1-MIC-LI-LE-1</v>
      </c>
      <c r="B147" t="s">
        <v>663</v>
      </c>
      <c r="C147" s="74" t="s">
        <v>324</v>
      </c>
      <c r="D147" s="74" t="s">
        <v>931</v>
      </c>
      <c r="E147" s="92">
        <v>45093</v>
      </c>
      <c r="F147" s="95">
        <v>7.7</v>
      </c>
      <c r="G147" s="96">
        <v>1.66</v>
      </c>
      <c r="H147" s="96">
        <v>0.32</v>
      </c>
    </row>
    <row r="148" spans="1:8" x14ac:dyDescent="0.2">
      <c r="A148" t="str">
        <v>2023-1-MIC-LI-LE-2</v>
      </c>
      <c r="B148" t="s">
        <v>769</v>
      </c>
      <c r="C148" s="74" t="s">
        <v>325</v>
      </c>
      <c r="D148" s="74" t="s">
        <v>931</v>
      </c>
      <c r="E148" s="92">
        <v>45093</v>
      </c>
      <c r="F148" s="95">
        <v>8.1999999999999993</v>
      </c>
      <c r="G148" s="96">
        <v>1.71</v>
      </c>
      <c r="H148" s="96">
        <v>0.16</v>
      </c>
    </row>
    <row r="149" spans="1:8" x14ac:dyDescent="0.2">
      <c r="A149" t="str">
        <v>2023-1-MIC-LI-LE-3</v>
      </c>
      <c r="B149" t="s">
        <v>770</v>
      </c>
      <c r="C149" s="74" t="s">
        <v>326</v>
      </c>
      <c r="D149" s="74" t="s">
        <v>931</v>
      </c>
      <c r="E149" s="92">
        <v>45093</v>
      </c>
      <c r="F149" s="95">
        <v>7</v>
      </c>
      <c r="G149" s="96">
        <v>1.71</v>
      </c>
      <c r="H149" s="96">
        <v>0.15</v>
      </c>
    </row>
    <row r="150" spans="1:8" x14ac:dyDescent="0.2">
      <c r="A150" t="str">
        <v>2023-1-MIC-EM-LE-1</v>
      </c>
      <c r="B150" t="s">
        <v>666</v>
      </c>
      <c r="C150" s="74" t="s">
        <v>327</v>
      </c>
      <c r="D150" s="74" t="s">
        <v>931</v>
      </c>
      <c r="E150" s="92">
        <v>45093</v>
      </c>
      <c r="F150" s="95">
        <v>7.5</v>
      </c>
      <c r="G150" s="96">
        <v>2.0299999999999998</v>
      </c>
      <c r="H150" s="96">
        <v>0.05</v>
      </c>
    </row>
    <row r="151" spans="1:8" x14ac:dyDescent="0.2">
      <c r="A151" t="str">
        <v>2023-1-MIC-EM-LE-2</v>
      </c>
      <c r="B151" t="s">
        <v>771</v>
      </c>
      <c r="C151" s="74" t="s">
        <v>328</v>
      </c>
      <c r="D151" s="74" t="s">
        <v>931</v>
      </c>
      <c r="E151" s="92">
        <v>45093</v>
      </c>
      <c r="F151" s="95">
        <v>7.8</v>
      </c>
      <c r="G151" s="96">
        <v>1.81</v>
      </c>
      <c r="H151" s="96">
        <v>0.16</v>
      </c>
    </row>
    <row r="152" spans="1:8" x14ac:dyDescent="0.2">
      <c r="A152" t="str">
        <v>2023-1-MIC-EM-LE-3</v>
      </c>
      <c r="B152" t="s">
        <v>772</v>
      </c>
      <c r="C152" s="74" t="s">
        <v>329</v>
      </c>
      <c r="D152" s="74" t="s">
        <v>931</v>
      </c>
      <c r="E152" s="92">
        <v>45093</v>
      </c>
      <c r="F152" s="95">
        <v>8.6999999999999993</v>
      </c>
      <c r="G152" s="96">
        <v>1.67</v>
      </c>
      <c r="H152" s="96">
        <v>0.39</v>
      </c>
    </row>
    <row r="153" spans="1:8" x14ac:dyDescent="0.2">
      <c r="A153" t="str">
        <v>2023-1-MIB-CL-LE-1</v>
      </c>
      <c r="B153" t="s">
        <v>773</v>
      </c>
      <c r="C153" s="74" t="s">
        <v>330</v>
      </c>
      <c r="D153" s="74" t="s">
        <v>931</v>
      </c>
      <c r="E153" s="92">
        <v>45093</v>
      </c>
      <c r="F153" s="95">
        <v>9.4</v>
      </c>
      <c r="G153" s="96">
        <v>1.87</v>
      </c>
      <c r="H153" s="96">
        <v>0.03</v>
      </c>
    </row>
    <row r="154" spans="1:8" x14ac:dyDescent="0.2">
      <c r="A154" t="str">
        <v>2023-1-MIB-CL-LE-2</v>
      </c>
      <c r="B154" t="s">
        <v>774</v>
      </c>
      <c r="C154" s="74" t="s">
        <v>331</v>
      </c>
      <c r="D154" s="74" t="s">
        <v>931</v>
      </c>
      <c r="E154" s="92">
        <v>45093</v>
      </c>
      <c r="F154" s="95">
        <v>6.8</v>
      </c>
      <c r="G154" s="96">
        <v>1.67</v>
      </c>
      <c r="H154" s="96">
        <v>0.34</v>
      </c>
    </row>
    <row r="155" spans="1:8" x14ac:dyDescent="0.2">
      <c r="A155" t="str">
        <v>2023-1-MIB-CL-LE-3</v>
      </c>
      <c r="B155" t="s">
        <v>775</v>
      </c>
      <c r="C155" s="74" t="s">
        <v>332</v>
      </c>
      <c r="D155" s="74" t="s">
        <v>931</v>
      </c>
      <c r="E155" s="92">
        <v>45093</v>
      </c>
      <c r="F155" s="95">
        <v>10.199999999999999</v>
      </c>
      <c r="G155" s="96">
        <v>2</v>
      </c>
      <c r="H155" s="96">
        <v>0.41</v>
      </c>
    </row>
    <row r="156" spans="1:8" x14ac:dyDescent="0.2">
      <c r="A156" t="str">
        <v>2023-1-MIB-HC-LE-1</v>
      </c>
      <c r="B156" t="s">
        <v>776</v>
      </c>
      <c r="C156" s="74" t="s">
        <v>333</v>
      </c>
      <c r="D156" s="74" t="s">
        <v>931</v>
      </c>
      <c r="E156" s="92">
        <v>45093</v>
      </c>
      <c r="F156" s="95">
        <v>9.3000000000000007</v>
      </c>
      <c r="G156" s="96">
        <v>1.9</v>
      </c>
      <c r="H156" s="96">
        <v>0.12</v>
      </c>
    </row>
    <row r="157" spans="1:8" x14ac:dyDescent="0.2">
      <c r="A157" t="str">
        <v>2023-1-MIB-HC-LE-2</v>
      </c>
      <c r="B157" t="s">
        <v>777</v>
      </c>
      <c r="C157" s="74" t="s">
        <v>334</v>
      </c>
      <c r="D157" s="74" t="s">
        <v>931</v>
      </c>
      <c r="E157" s="92">
        <v>45093</v>
      </c>
      <c r="F157" s="95">
        <v>6.9</v>
      </c>
      <c r="G157" s="96">
        <v>2.0099999999999998</v>
      </c>
      <c r="H157" s="96">
        <v>7.0000000000000007E-2</v>
      </c>
    </row>
    <row r="158" spans="1:8" x14ac:dyDescent="0.2">
      <c r="A158" t="str">
        <v>2023-1-MIB-HC-LE-3</v>
      </c>
      <c r="B158" t="s">
        <v>778</v>
      </c>
      <c r="C158" s="74" t="s">
        <v>335</v>
      </c>
      <c r="D158" s="74" t="s">
        <v>931</v>
      </c>
      <c r="E158" s="92">
        <v>45093</v>
      </c>
      <c r="F158" s="95">
        <v>9.1999999999999993</v>
      </c>
      <c r="G158" s="96">
        <v>1.84</v>
      </c>
      <c r="H158" s="96">
        <v>7.0000000000000007E-2</v>
      </c>
    </row>
    <row r="159" spans="1:8" x14ac:dyDescent="0.2">
      <c r="A159" t="str">
        <v>2023-1-MIB-SP-LE-1</v>
      </c>
      <c r="B159" t="s">
        <v>669</v>
      </c>
      <c r="C159" s="74" t="s">
        <v>336</v>
      </c>
      <c r="D159" s="74" t="s">
        <v>931</v>
      </c>
      <c r="E159" s="92">
        <v>45093</v>
      </c>
      <c r="F159" s="95">
        <v>9.1</v>
      </c>
      <c r="G159" s="96">
        <v>1.63</v>
      </c>
      <c r="H159" s="96">
        <v>0.35</v>
      </c>
    </row>
    <row r="160" spans="1:8" x14ac:dyDescent="0.2">
      <c r="A160" t="str">
        <v>2023-1-MIB-SP-LE-2</v>
      </c>
      <c r="B160" t="s">
        <v>779</v>
      </c>
      <c r="C160" s="74" t="s">
        <v>337</v>
      </c>
      <c r="D160" s="74" t="s">
        <v>931</v>
      </c>
      <c r="E160" s="92">
        <v>45093</v>
      </c>
      <c r="F160" s="95">
        <v>8.5</v>
      </c>
      <c r="G160" s="96">
        <v>1.74</v>
      </c>
      <c r="H160" s="96">
        <v>0.05</v>
      </c>
    </row>
    <row r="161" spans="1:8" x14ac:dyDescent="0.2">
      <c r="A161" t="str">
        <v>2023-1-MIB-SP-LE-3</v>
      </c>
      <c r="B161" t="s">
        <v>780</v>
      </c>
      <c r="C161" s="74" t="s">
        <v>338</v>
      </c>
      <c r="D161" s="74" t="s">
        <v>931</v>
      </c>
      <c r="E161" s="92">
        <v>45093</v>
      </c>
      <c r="F161" s="95">
        <v>7.1</v>
      </c>
      <c r="G161" s="96">
        <v>1.77</v>
      </c>
      <c r="H161" s="96">
        <v>0.23</v>
      </c>
    </row>
    <row r="162" spans="1:8" x14ac:dyDescent="0.2">
      <c r="A162" t="str">
        <v>2023-1-MIB-LI-LE-1</v>
      </c>
      <c r="B162" t="s">
        <v>672</v>
      </c>
      <c r="C162" s="74" t="s">
        <v>339</v>
      </c>
      <c r="D162" s="74" t="s">
        <v>931</v>
      </c>
      <c r="E162" s="92">
        <v>45093</v>
      </c>
      <c r="F162" s="95">
        <v>9.5</v>
      </c>
      <c r="G162" s="96">
        <v>1.6</v>
      </c>
      <c r="H162" s="96">
        <v>0.3</v>
      </c>
    </row>
    <row r="163" spans="1:8" x14ac:dyDescent="0.2">
      <c r="A163" t="str">
        <v>2023-1-MIB-LI-LE-2</v>
      </c>
      <c r="B163" t="s">
        <v>781</v>
      </c>
      <c r="C163" s="74" t="s">
        <v>340</v>
      </c>
      <c r="D163" s="74" t="s">
        <v>931</v>
      </c>
      <c r="E163" s="92">
        <v>45093</v>
      </c>
      <c r="F163" s="95">
        <v>11.5</v>
      </c>
      <c r="G163" s="96">
        <v>1.74</v>
      </c>
      <c r="H163" s="96">
        <v>0.1</v>
      </c>
    </row>
    <row r="164" spans="1:8" x14ac:dyDescent="0.2">
      <c r="A164" t="str">
        <v>2023-1-MIB-LI-LE-3</v>
      </c>
      <c r="B164" t="s">
        <v>782</v>
      </c>
      <c r="C164" s="74" t="s">
        <v>341</v>
      </c>
      <c r="D164" s="74" t="s">
        <v>931</v>
      </c>
      <c r="E164" s="92">
        <v>45093</v>
      </c>
      <c r="F164" s="95">
        <v>8.6999999999999993</v>
      </c>
      <c r="G164" s="96">
        <v>1.59</v>
      </c>
      <c r="H164" s="96">
        <v>0.23</v>
      </c>
    </row>
    <row r="165" spans="1:8" x14ac:dyDescent="0.2">
      <c r="A165" t="str">
        <v>2023-1-MIB-EM-LE-1</v>
      </c>
      <c r="B165" t="s">
        <v>675</v>
      </c>
      <c r="C165" s="74" t="s">
        <v>342</v>
      </c>
      <c r="D165" s="74" t="s">
        <v>931</v>
      </c>
      <c r="E165" s="92">
        <v>45093</v>
      </c>
      <c r="F165" s="95">
        <v>8.5</v>
      </c>
      <c r="G165" s="96">
        <v>1.62</v>
      </c>
      <c r="H165" s="96">
        <v>0.05</v>
      </c>
    </row>
    <row r="166" spans="1:8" x14ac:dyDescent="0.2">
      <c r="A166" t="str">
        <v>2023-1-MIB-EM-LE-2</v>
      </c>
      <c r="B166" t="s">
        <v>783</v>
      </c>
      <c r="C166" s="74" t="s">
        <v>343</v>
      </c>
      <c r="D166" s="74" t="s">
        <v>931</v>
      </c>
      <c r="E166" s="92">
        <v>45093</v>
      </c>
      <c r="F166" s="95">
        <v>9.4</v>
      </c>
      <c r="G166" s="96">
        <v>1.62</v>
      </c>
      <c r="H166" s="96">
        <v>0.13</v>
      </c>
    </row>
    <row r="167" spans="1:8" x14ac:dyDescent="0.2">
      <c r="A167" t="str">
        <v>2023-1-MIB-EM-LE-3</v>
      </c>
      <c r="B167" t="s">
        <v>784</v>
      </c>
      <c r="C167" s="74" t="s">
        <v>344</v>
      </c>
      <c r="D167" s="74" t="s">
        <v>931</v>
      </c>
      <c r="E167" s="92">
        <v>45093</v>
      </c>
      <c r="F167" s="95">
        <v>7.4</v>
      </c>
      <c r="G167" s="96">
        <v>1.53</v>
      </c>
      <c r="H167" s="96">
        <v>0.15</v>
      </c>
    </row>
    <row r="168" spans="1:8" x14ac:dyDescent="0.2">
      <c r="A168" t="str">
        <v>2023-2-ASB-CL-LE-1</v>
      </c>
      <c r="B168" t="s">
        <v>785</v>
      </c>
      <c r="C168" s="74" t="s">
        <v>345</v>
      </c>
      <c r="D168" s="74" t="s">
        <v>934</v>
      </c>
      <c r="E168" s="92">
        <v>45140</v>
      </c>
      <c r="F168" s="95">
        <v>3.9</v>
      </c>
      <c r="G168" s="96">
        <v>2.38</v>
      </c>
      <c r="H168" s="96">
        <v>0.04</v>
      </c>
    </row>
    <row r="169" spans="1:8" x14ac:dyDescent="0.2">
      <c r="A169" t="str">
        <v>2023-2-ASB-CL-LE-2</v>
      </c>
      <c r="B169" t="s">
        <v>558</v>
      </c>
      <c r="C169" s="74" t="s">
        <v>346</v>
      </c>
      <c r="D169" s="74" t="s">
        <v>934</v>
      </c>
      <c r="E169" s="92">
        <v>45140</v>
      </c>
      <c r="F169" s="95">
        <v>16.8</v>
      </c>
      <c r="G169" s="96">
        <v>2.02</v>
      </c>
      <c r="H169" s="96">
        <v>0.38</v>
      </c>
    </row>
    <row r="170" spans="1:8" x14ac:dyDescent="0.2">
      <c r="A170" t="str">
        <v>2023-2-ASB-CL-LE-3</v>
      </c>
      <c r="B170" t="s">
        <v>786</v>
      </c>
      <c r="C170" s="74" t="s">
        <v>347</v>
      </c>
      <c r="D170" s="74" t="s">
        <v>934</v>
      </c>
      <c r="E170" s="92">
        <v>45140</v>
      </c>
      <c r="F170" s="95">
        <v>24.6</v>
      </c>
      <c r="G170" s="96">
        <v>2.02</v>
      </c>
      <c r="H170" s="96">
        <v>0.28999999999999998</v>
      </c>
    </row>
    <row r="171" spans="1:8" x14ac:dyDescent="0.2">
      <c r="A171" t="str">
        <v>2023-2-ASB-PR-LE-1</v>
      </c>
      <c r="B171" t="s">
        <v>787</v>
      </c>
      <c r="C171" s="74" t="s">
        <v>348</v>
      </c>
      <c r="D171" s="74" t="s">
        <v>934</v>
      </c>
      <c r="E171" s="92">
        <v>45140</v>
      </c>
      <c r="F171" s="95">
        <v>2.5</v>
      </c>
      <c r="G171" s="96">
        <v>2.23</v>
      </c>
      <c r="H171" s="96">
        <v>0.26</v>
      </c>
    </row>
    <row r="172" spans="1:8" x14ac:dyDescent="0.2">
      <c r="A172" t="str">
        <v>2023-2-ASB-PR-LE-2</v>
      </c>
      <c r="B172" t="s">
        <v>566</v>
      </c>
      <c r="C172" s="74" t="s">
        <v>349</v>
      </c>
      <c r="D172" s="74" t="s">
        <v>934</v>
      </c>
      <c r="E172" s="92">
        <v>45140</v>
      </c>
      <c r="F172" s="95">
        <v>27.5</v>
      </c>
      <c r="G172" s="96">
        <v>1.95</v>
      </c>
      <c r="H172" s="96">
        <v>0.25</v>
      </c>
    </row>
    <row r="173" spans="1:8" x14ac:dyDescent="0.2">
      <c r="A173" t="str">
        <v>2023-2-ASB-PR-LE-3</v>
      </c>
      <c r="B173" t="s">
        <v>788</v>
      </c>
      <c r="C173" s="74" t="s">
        <v>350</v>
      </c>
      <c r="D173" s="74" t="s">
        <v>934</v>
      </c>
      <c r="E173" s="92">
        <v>45140</v>
      </c>
      <c r="F173" s="95">
        <v>26.3</v>
      </c>
      <c r="G173" s="96">
        <v>1.99</v>
      </c>
      <c r="H173" s="96">
        <v>0.83</v>
      </c>
    </row>
    <row r="174" spans="1:8" x14ac:dyDescent="0.2">
      <c r="A174" t="str">
        <v>2023-2-ASB-HC-LE-1</v>
      </c>
      <c r="B174" t="s">
        <v>789</v>
      </c>
      <c r="C174" s="74" t="s">
        <v>351</v>
      </c>
      <c r="D174" s="74" t="s">
        <v>934</v>
      </c>
      <c r="E174" s="92">
        <v>45140</v>
      </c>
      <c r="F174" s="95">
        <v>24.3</v>
      </c>
      <c r="G174" s="96">
        <v>2.0099999999999998</v>
      </c>
      <c r="H174" s="96">
        <v>0.21</v>
      </c>
    </row>
    <row r="175" spans="1:8" x14ac:dyDescent="0.2">
      <c r="A175" t="str">
        <v>2023-2-ASB-HC-LE-2</v>
      </c>
      <c r="B175" t="s">
        <v>570</v>
      </c>
      <c r="C175" s="74" t="s">
        <v>352</v>
      </c>
      <c r="D175" s="74" t="s">
        <v>934</v>
      </c>
      <c r="E175" s="92">
        <v>45140</v>
      </c>
      <c r="F175" s="95">
        <v>30.1</v>
      </c>
      <c r="G175" s="96">
        <v>1.93</v>
      </c>
      <c r="H175" s="96">
        <v>0.9</v>
      </c>
    </row>
    <row r="176" spans="1:8" x14ac:dyDescent="0.2">
      <c r="A176" t="str">
        <v>2023-2-ASB-HC-LE-3</v>
      </c>
      <c r="B176" t="s">
        <v>790</v>
      </c>
      <c r="C176" s="74" t="s">
        <v>353</v>
      </c>
      <c r="D176" s="74" t="s">
        <v>934</v>
      </c>
      <c r="E176" s="92">
        <v>45140</v>
      </c>
      <c r="F176" s="95">
        <v>88.2</v>
      </c>
      <c r="G176" s="96">
        <v>1.91</v>
      </c>
      <c r="H176" s="96">
        <v>0.22</v>
      </c>
    </row>
    <row r="177" spans="1:8" x14ac:dyDescent="0.2">
      <c r="A177" t="str">
        <v>2023-2-ASB-SP-LE-1</v>
      </c>
      <c r="B177" t="s">
        <v>791</v>
      </c>
      <c r="C177" s="74" t="s">
        <v>354</v>
      </c>
      <c r="D177" s="74" t="s">
        <v>934</v>
      </c>
      <c r="E177" s="92">
        <v>45140</v>
      </c>
      <c r="F177" s="95">
        <v>14.2</v>
      </c>
      <c r="G177" s="96">
        <v>2.02</v>
      </c>
      <c r="H177" s="96">
        <v>0.35</v>
      </c>
    </row>
    <row r="178" spans="1:8" x14ac:dyDescent="0.2">
      <c r="A178" t="str">
        <v>2023-2-ASB-SP-LE-2</v>
      </c>
      <c r="B178" t="s">
        <v>582</v>
      </c>
      <c r="C178" s="74" t="s">
        <v>355</v>
      </c>
      <c r="D178" s="74" t="s">
        <v>934</v>
      </c>
      <c r="E178" s="92">
        <v>45140</v>
      </c>
      <c r="F178" s="95">
        <v>29.7</v>
      </c>
      <c r="G178" s="96">
        <v>1.89</v>
      </c>
      <c r="H178" s="96">
        <v>0.15</v>
      </c>
    </row>
    <row r="179" spans="1:8" x14ac:dyDescent="0.2">
      <c r="A179" t="str">
        <v>2023-2-ASB-SP-LE-3</v>
      </c>
      <c r="B179" t="s">
        <v>792</v>
      </c>
      <c r="C179" s="74" t="s">
        <v>356</v>
      </c>
      <c r="D179" s="74" t="s">
        <v>934</v>
      </c>
      <c r="E179" s="92">
        <v>45140</v>
      </c>
      <c r="F179" s="95">
        <v>22.8</v>
      </c>
      <c r="G179" s="96">
        <v>1.95</v>
      </c>
      <c r="H179" s="96">
        <v>0.14000000000000001</v>
      </c>
    </row>
    <row r="180" spans="1:8" x14ac:dyDescent="0.2">
      <c r="A180" t="str">
        <v>2023-2-ASB-LI-LE-1</v>
      </c>
      <c r="B180" t="s">
        <v>793</v>
      </c>
      <c r="C180" s="74" t="s">
        <v>357</v>
      </c>
      <c r="D180" s="74" t="s">
        <v>934</v>
      </c>
      <c r="E180" s="92">
        <v>45140</v>
      </c>
      <c r="F180" s="95">
        <v>26.7</v>
      </c>
      <c r="G180" s="96">
        <v>1.9</v>
      </c>
      <c r="H180" s="96">
        <v>0.38</v>
      </c>
    </row>
    <row r="181" spans="1:8" x14ac:dyDescent="0.2">
      <c r="A181" t="str">
        <v>2023-2-ASB-LI-LE-2</v>
      </c>
      <c r="B181" t="s">
        <v>586</v>
      </c>
      <c r="C181" s="74" t="s">
        <v>358</v>
      </c>
      <c r="D181" s="74" t="s">
        <v>934</v>
      </c>
      <c r="E181" s="92">
        <v>45140</v>
      </c>
      <c r="F181" s="95">
        <v>13.5</v>
      </c>
      <c r="G181" s="96">
        <v>2.08</v>
      </c>
      <c r="H181" s="96">
        <v>0.17</v>
      </c>
    </row>
    <row r="182" spans="1:8" x14ac:dyDescent="0.2">
      <c r="A182" t="str">
        <v>2023-2-ASB-LI-LE-3</v>
      </c>
      <c r="B182" t="s">
        <v>794</v>
      </c>
      <c r="C182" s="74" t="s">
        <v>359</v>
      </c>
      <c r="D182" s="74" t="s">
        <v>934</v>
      </c>
      <c r="E182" s="92">
        <v>45140</v>
      </c>
      <c r="F182" s="95">
        <v>10.1</v>
      </c>
      <c r="G182" s="96">
        <v>1.96</v>
      </c>
      <c r="H182" s="96">
        <v>0.1</v>
      </c>
    </row>
    <row r="183" spans="1:8" x14ac:dyDescent="0.2">
      <c r="A183" t="str">
        <v>2023-2-ASB-EM-LE-1</v>
      </c>
      <c r="B183" t="s">
        <v>795</v>
      </c>
      <c r="C183" s="74" t="s">
        <v>360</v>
      </c>
      <c r="D183" s="74" t="s">
        <v>934</v>
      </c>
      <c r="E183" s="92">
        <v>45140</v>
      </c>
      <c r="F183" s="95">
        <v>30</v>
      </c>
      <c r="G183" s="96">
        <v>1.87</v>
      </c>
      <c r="H183" s="96">
        <v>1.42</v>
      </c>
    </row>
    <row r="184" spans="1:8" x14ac:dyDescent="0.2">
      <c r="A184" t="str">
        <v>2023-2-ASB-EM-LE-2</v>
      </c>
      <c r="B184" t="s">
        <v>590</v>
      </c>
      <c r="C184" s="74" t="s">
        <v>361</v>
      </c>
      <c r="D184" s="74" t="s">
        <v>934</v>
      </c>
      <c r="E184" s="92">
        <v>45140</v>
      </c>
      <c r="F184" s="95">
        <v>38.1</v>
      </c>
      <c r="G184" s="96">
        <v>1.83</v>
      </c>
      <c r="H184" s="96">
        <v>0.25</v>
      </c>
    </row>
    <row r="185" spans="1:8" x14ac:dyDescent="0.2">
      <c r="A185" t="str">
        <v>2023-2-ASB-EM-LE-3</v>
      </c>
      <c r="B185" t="s">
        <v>796</v>
      </c>
      <c r="C185" s="74" t="s">
        <v>362</v>
      </c>
      <c r="D185" s="74" t="s">
        <v>934</v>
      </c>
      <c r="E185" s="92">
        <v>45140</v>
      </c>
      <c r="F185" s="95">
        <v>53.8</v>
      </c>
      <c r="G185" s="96">
        <v>1.77</v>
      </c>
      <c r="H185" s="96">
        <v>0.77</v>
      </c>
    </row>
    <row r="186" spans="1:8" x14ac:dyDescent="0.2">
      <c r="A186" t="str">
        <v>2023-2-PMB-CL-LE-1</v>
      </c>
      <c r="B186" t="s">
        <v>797</v>
      </c>
      <c r="C186" s="74" t="s">
        <v>363</v>
      </c>
      <c r="D186" s="74" t="s">
        <v>936</v>
      </c>
      <c r="E186" s="92">
        <v>45140</v>
      </c>
      <c r="F186" s="95">
        <v>7.4</v>
      </c>
      <c r="G186" s="96">
        <v>1.7</v>
      </c>
      <c r="H186" s="96">
        <v>0.04</v>
      </c>
    </row>
    <row r="187" spans="1:8" x14ac:dyDescent="0.2">
      <c r="A187" t="str">
        <v>2023-2-PMB-CL-LE-2</v>
      </c>
      <c r="B187" t="s">
        <v>606</v>
      </c>
      <c r="C187" s="74" t="s">
        <v>364</v>
      </c>
      <c r="D187" s="74" t="s">
        <v>936</v>
      </c>
      <c r="E187" s="92">
        <v>45140</v>
      </c>
      <c r="F187" s="95">
        <v>7.8</v>
      </c>
      <c r="G187" s="96">
        <v>1.73</v>
      </c>
      <c r="H187" s="96">
        <v>0.34</v>
      </c>
    </row>
    <row r="188" spans="1:8" x14ac:dyDescent="0.2">
      <c r="A188" t="str">
        <v>2023-2-PMB-CL-LE-3</v>
      </c>
      <c r="B188" t="s">
        <v>798</v>
      </c>
      <c r="C188" s="74" t="s">
        <v>365</v>
      </c>
      <c r="D188" s="74" t="s">
        <v>936</v>
      </c>
      <c r="E188" s="92">
        <v>45140</v>
      </c>
      <c r="F188" s="95">
        <v>7.6</v>
      </c>
      <c r="G188" s="96">
        <v>1.99</v>
      </c>
      <c r="H188" s="96">
        <v>0.17</v>
      </c>
    </row>
    <row r="189" spans="1:8" x14ac:dyDescent="0.2">
      <c r="A189" t="str">
        <v>2023-2-PMB-PR-LE-1</v>
      </c>
      <c r="B189" t="s">
        <v>799</v>
      </c>
      <c r="C189" s="74" t="s">
        <v>366</v>
      </c>
      <c r="D189" s="74" t="s">
        <v>936</v>
      </c>
      <c r="E189" s="92">
        <v>45140</v>
      </c>
      <c r="F189" s="95">
        <v>12.3</v>
      </c>
      <c r="G189" s="96">
        <v>1.78</v>
      </c>
      <c r="H189" s="96">
        <v>0.3</v>
      </c>
    </row>
    <row r="190" spans="1:8" x14ac:dyDescent="0.2">
      <c r="A190" t="str">
        <v>2023-2-PMB-PR-LE-2</v>
      </c>
      <c r="B190" t="s">
        <v>613</v>
      </c>
      <c r="C190" s="74" t="s">
        <v>367</v>
      </c>
      <c r="D190" s="74" t="s">
        <v>936</v>
      </c>
      <c r="E190" s="92">
        <v>45140</v>
      </c>
      <c r="F190" s="95">
        <v>10</v>
      </c>
      <c r="G190" s="96">
        <v>1.84</v>
      </c>
      <c r="H190" s="96">
        <v>0.09</v>
      </c>
    </row>
    <row r="191" spans="1:8" x14ac:dyDescent="0.2">
      <c r="A191" t="str">
        <v>2023-2-PMB-PR-LE-3</v>
      </c>
      <c r="B191" t="s">
        <v>800</v>
      </c>
      <c r="C191" s="74" t="s">
        <v>368</v>
      </c>
      <c r="D191" s="74" t="s">
        <v>936</v>
      </c>
      <c r="E191" s="92">
        <v>45140</v>
      </c>
      <c r="F191" s="95">
        <v>9.9</v>
      </c>
      <c r="G191" s="96">
        <v>1.83</v>
      </c>
      <c r="H191" s="96">
        <v>0.1</v>
      </c>
    </row>
    <row r="192" spans="1:8" x14ac:dyDescent="0.2">
      <c r="A192" t="str">
        <v>2023-2-PMB-HC-LE-1</v>
      </c>
      <c r="B192" t="s">
        <v>801</v>
      </c>
      <c r="C192" s="74" t="s">
        <v>369</v>
      </c>
      <c r="D192" s="74" t="s">
        <v>936</v>
      </c>
      <c r="E192" s="92">
        <v>45141</v>
      </c>
      <c r="F192" s="95">
        <v>10.199999999999999</v>
      </c>
      <c r="G192" s="96">
        <v>2.0499999999999998</v>
      </c>
      <c r="H192" s="96">
        <v>0.73</v>
      </c>
    </row>
    <row r="193" spans="1:8" x14ac:dyDescent="0.2">
      <c r="A193" t="str">
        <v>2023-2-PMB-HC-LE-2</v>
      </c>
      <c r="B193" t="s">
        <v>622</v>
      </c>
      <c r="C193" s="74" t="s">
        <v>370</v>
      </c>
      <c r="D193" s="74" t="s">
        <v>936</v>
      </c>
      <c r="E193" s="92">
        <v>45141</v>
      </c>
      <c r="F193" s="95">
        <v>40</v>
      </c>
      <c r="G193" s="96">
        <v>1.62</v>
      </c>
      <c r="H193" s="96">
        <v>0.3</v>
      </c>
    </row>
    <row r="194" spans="1:8" x14ac:dyDescent="0.2">
      <c r="A194" t="str">
        <v>2023-2-PMB-HC-LE-3</v>
      </c>
      <c r="B194" t="s">
        <v>802</v>
      </c>
      <c r="C194" s="74" t="s">
        <v>371</v>
      </c>
      <c r="D194" s="74" t="s">
        <v>936</v>
      </c>
      <c r="E194" s="92">
        <v>45141</v>
      </c>
      <c r="F194" s="95">
        <v>2.1</v>
      </c>
      <c r="G194" s="96">
        <v>1.52</v>
      </c>
      <c r="H194" s="96">
        <v>0.06</v>
      </c>
    </row>
    <row r="195" spans="1:8" x14ac:dyDescent="0.2">
      <c r="A195" t="str">
        <v>2023-2-PMB-SP-LE-1</v>
      </c>
      <c r="B195" t="s">
        <v>803</v>
      </c>
      <c r="C195" s="74" t="s">
        <v>372</v>
      </c>
      <c r="D195" s="74" t="s">
        <v>936</v>
      </c>
      <c r="E195" s="92">
        <v>45141</v>
      </c>
      <c r="F195" s="95">
        <v>9.3000000000000007</v>
      </c>
      <c r="G195" s="96">
        <v>2</v>
      </c>
      <c r="H195" s="96">
        <v>0.18</v>
      </c>
    </row>
    <row r="196" spans="1:8" x14ac:dyDescent="0.2">
      <c r="A196" t="str">
        <v>2023-2-PMB-SP-LE-2</v>
      </c>
      <c r="B196" t="s">
        <v>630</v>
      </c>
      <c r="C196" s="74" t="s">
        <v>373</v>
      </c>
      <c r="D196" s="74" t="s">
        <v>936</v>
      </c>
      <c r="E196" s="92">
        <v>45141</v>
      </c>
      <c r="F196" s="95">
        <v>6.2</v>
      </c>
      <c r="G196" s="96">
        <v>2.06</v>
      </c>
      <c r="H196" s="96">
        <v>0.36</v>
      </c>
    </row>
    <row r="197" spans="1:8" x14ac:dyDescent="0.2">
      <c r="A197" t="str">
        <v>2023-2-PMB-SP-LE-3</v>
      </c>
      <c r="B197" t="s">
        <v>804</v>
      </c>
      <c r="C197" s="74" t="s">
        <v>374</v>
      </c>
      <c r="D197" s="74" t="s">
        <v>936</v>
      </c>
      <c r="E197" s="92">
        <v>45141</v>
      </c>
      <c r="F197" s="95">
        <v>8.9</v>
      </c>
      <c r="G197" s="96">
        <v>1.92</v>
      </c>
      <c r="H197" s="96">
        <v>0.19</v>
      </c>
    </row>
    <row r="198" spans="1:8" x14ac:dyDescent="0.2">
      <c r="A198" t="str">
        <v>2023-2-PMB-LI-LE-1</v>
      </c>
      <c r="B198" t="s">
        <v>805</v>
      </c>
      <c r="C198" s="74" t="s">
        <v>375</v>
      </c>
      <c r="D198" s="74" t="s">
        <v>936</v>
      </c>
      <c r="E198" s="92">
        <v>45141</v>
      </c>
      <c r="F198" s="95">
        <v>12.7</v>
      </c>
      <c r="G198" s="96">
        <v>1.79</v>
      </c>
      <c r="H198" s="96">
        <v>0.17</v>
      </c>
    </row>
    <row r="199" spans="1:8" x14ac:dyDescent="0.2">
      <c r="A199" t="str">
        <v>2023-2-PMB-LI-LE-2</v>
      </c>
      <c r="B199" t="s">
        <v>634</v>
      </c>
      <c r="C199" s="74" t="s">
        <v>376</v>
      </c>
      <c r="D199" s="74" t="s">
        <v>936</v>
      </c>
      <c r="E199" s="92">
        <v>45141</v>
      </c>
      <c r="F199" s="95">
        <v>2.9</v>
      </c>
      <c r="G199" s="96">
        <v>2.14</v>
      </c>
      <c r="H199" s="96">
        <v>0.08</v>
      </c>
    </row>
    <row r="200" spans="1:8" x14ac:dyDescent="0.2">
      <c r="A200" t="str">
        <v>2023-2-PMB-LI-LE-3</v>
      </c>
      <c r="B200" t="s">
        <v>806</v>
      </c>
      <c r="C200" s="74" t="s">
        <v>377</v>
      </c>
      <c r="D200" s="74" t="s">
        <v>936</v>
      </c>
      <c r="E200" s="92">
        <v>45141</v>
      </c>
      <c r="F200" s="95">
        <v>11.5</v>
      </c>
      <c r="G200" s="96">
        <v>1.61</v>
      </c>
      <c r="H200" s="96">
        <v>0.6</v>
      </c>
    </row>
    <row r="201" spans="1:8" x14ac:dyDescent="0.2">
      <c r="A201" t="str">
        <v>2023-2-PMB-EM-LE-1</v>
      </c>
      <c r="B201" t="s">
        <v>807</v>
      </c>
      <c r="C201" s="74" t="s">
        <v>378</v>
      </c>
      <c r="D201" s="74" t="s">
        <v>936</v>
      </c>
      <c r="E201" s="92">
        <v>45141</v>
      </c>
      <c r="F201" s="95">
        <v>6.4</v>
      </c>
      <c r="G201" s="96">
        <v>2.12</v>
      </c>
      <c r="H201" s="96">
        <v>0.02</v>
      </c>
    </row>
    <row r="202" spans="1:8" x14ac:dyDescent="0.2">
      <c r="A202" t="str">
        <v>2023-2-PMB-EM-LE-2</v>
      </c>
      <c r="B202" t="s">
        <v>638</v>
      </c>
      <c r="C202" s="74" t="s">
        <v>379</v>
      </c>
      <c r="D202" s="74" t="s">
        <v>936</v>
      </c>
      <c r="E202" s="92">
        <v>45141</v>
      </c>
      <c r="F202" s="95">
        <v>8.6</v>
      </c>
      <c r="G202" s="96">
        <v>1.7</v>
      </c>
      <c r="H202" s="96">
        <v>0.05</v>
      </c>
    </row>
    <row r="203" spans="1:8" x14ac:dyDescent="0.2">
      <c r="A203" t="str">
        <v>2023-2-PMB-EM-LE-3</v>
      </c>
      <c r="B203" t="s">
        <v>808</v>
      </c>
      <c r="C203" s="74" t="s">
        <v>380</v>
      </c>
      <c r="D203" s="74" t="s">
        <v>936</v>
      </c>
      <c r="E203" s="92">
        <v>45141</v>
      </c>
      <c r="F203" s="95">
        <v>8</v>
      </c>
      <c r="G203" s="96">
        <v>1.74</v>
      </c>
      <c r="H203" s="96">
        <v>0.11</v>
      </c>
    </row>
    <row r="204" spans="1:8" x14ac:dyDescent="0.2">
      <c r="A204" t="str">
        <v>2023-2-PMB-SR-LE-1</v>
      </c>
      <c r="B204" t="s">
        <v>811</v>
      </c>
      <c r="C204" s="74" t="s">
        <v>381</v>
      </c>
      <c r="D204" s="74" t="s">
        <v>936</v>
      </c>
      <c r="E204" s="92">
        <v>45141</v>
      </c>
      <c r="F204" s="95">
        <v>6.1</v>
      </c>
      <c r="G204" s="96">
        <v>1.85</v>
      </c>
      <c r="H204" s="96">
        <v>0.09</v>
      </c>
    </row>
    <row r="205" spans="1:8" x14ac:dyDescent="0.2">
      <c r="A205" t="str">
        <v>2023-2-PMB-SR-LE-2</v>
      </c>
      <c r="B205" t="s">
        <v>694</v>
      </c>
      <c r="C205" s="74" t="s">
        <v>382</v>
      </c>
      <c r="D205" s="74" t="s">
        <v>936</v>
      </c>
      <c r="E205" s="92">
        <v>45141</v>
      </c>
      <c r="F205" s="95">
        <v>3.6</v>
      </c>
      <c r="G205" s="96">
        <v>1.78</v>
      </c>
      <c r="H205" s="96">
        <v>0.09</v>
      </c>
    </row>
    <row r="206" spans="1:8" x14ac:dyDescent="0.2">
      <c r="A206" t="str">
        <v>2023-2-PMB-SR-LE-3</v>
      </c>
      <c r="B206" t="s">
        <v>812</v>
      </c>
      <c r="C206" s="74" t="s">
        <v>383</v>
      </c>
      <c r="D206" s="74" t="s">
        <v>936</v>
      </c>
      <c r="E206" s="92">
        <v>45141</v>
      </c>
      <c r="F206" s="95">
        <v>6.6</v>
      </c>
      <c r="G206" s="96">
        <v>1.52</v>
      </c>
      <c r="H206" s="96">
        <v>0.32</v>
      </c>
    </row>
    <row r="207" spans="1:8" x14ac:dyDescent="0.2">
      <c r="A207" t="str">
        <v>2023-2-COM-HC-LE-1</v>
      </c>
      <c r="B207" t="s">
        <v>815</v>
      </c>
      <c r="C207" s="74" t="s">
        <v>384</v>
      </c>
      <c r="D207" s="74" t="s">
        <v>936</v>
      </c>
      <c r="E207" s="92">
        <v>45141</v>
      </c>
      <c r="F207" s="95">
        <v>26.9</v>
      </c>
      <c r="G207" s="96">
        <v>1.76</v>
      </c>
      <c r="H207" s="96">
        <v>0.83</v>
      </c>
    </row>
    <row r="208" spans="1:8" x14ac:dyDescent="0.2">
      <c r="A208" t="str">
        <v>2023-2-COM-HC-LE-2</v>
      </c>
      <c r="B208" t="s">
        <v>705</v>
      </c>
      <c r="C208" s="74" t="s">
        <v>385</v>
      </c>
      <c r="D208" s="74" t="s">
        <v>936</v>
      </c>
      <c r="E208" s="92">
        <v>45141</v>
      </c>
      <c r="F208" s="95">
        <v>16.3</v>
      </c>
      <c r="G208" s="96">
        <v>1.82</v>
      </c>
      <c r="H208" s="96">
        <v>0.62</v>
      </c>
    </row>
    <row r="209" spans="1:8" x14ac:dyDescent="0.2">
      <c r="A209" t="str">
        <v>2023-2-COM-HC-LE-3</v>
      </c>
      <c r="B209" t="s">
        <v>816</v>
      </c>
      <c r="C209" s="74" t="s">
        <v>386</v>
      </c>
      <c r="D209" s="74" t="s">
        <v>936</v>
      </c>
      <c r="E209" s="92">
        <v>45141</v>
      </c>
      <c r="F209" s="95">
        <v>27.4</v>
      </c>
      <c r="G209" s="96">
        <v>1.75</v>
      </c>
      <c r="H209" s="96">
        <v>1.0900000000000001</v>
      </c>
    </row>
    <row r="210" spans="1:8" x14ac:dyDescent="0.2">
      <c r="A210" t="str">
        <v>2023-2-COM-SP-LE-1</v>
      </c>
      <c r="B210" t="s">
        <v>690</v>
      </c>
      <c r="C210" s="74" t="s">
        <v>387</v>
      </c>
      <c r="D210" s="74" t="s">
        <v>936</v>
      </c>
      <c r="E210" s="92">
        <v>45141</v>
      </c>
      <c r="F210" s="95">
        <v>59.5</v>
      </c>
      <c r="G210" s="96">
        <v>1.89</v>
      </c>
      <c r="H210" s="96">
        <v>0.2</v>
      </c>
    </row>
    <row r="211" spans="1:8" x14ac:dyDescent="0.2">
      <c r="A211" t="str">
        <v>2023-2-COM-SP-LE-2</v>
      </c>
      <c r="B211" t="s">
        <v>642</v>
      </c>
      <c r="C211" s="74" t="s">
        <v>388</v>
      </c>
      <c r="D211" s="74" t="s">
        <v>936</v>
      </c>
      <c r="E211" s="92">
        <v>45141</v>
      </c>
      <c r="F211" s="95">
        <v>26.9</v>
      </c>
      <c r="G211" s="96">
        <v>1.85</v>
      </c>
      <c r="H211" s="96">
        <v>0.23</v>
      </c>
    </row>
    <row r="212" spans="1:8" x14ac:dyDescent="0.2">
      <c r="A212" t="str">
        <v>2023-2-COM-SP-LE-3</v>
      </c>
      <c r="B212" t="s">
        <v>691</v>
      </c>
      <c r="C212" s="74" t="s">
        <v>389</v>
      </c>
      <c r="D212" s="74" t="s">
        <v>936</v>
      </c>
      <c r="E212" s="92">
        <v>45141</v>
      </c>
      <c r="F212" s="95">
        <v>20.3</v>
      </c>
      <c r="G212" s="96">
        <v>1.85</v>
      </c>
      <c r="H212" s="96">
        <v>0.19</v>
      </c>
    </row>
    <row r="213" spans="1:8" x14ac:dyDescent="0.2">
      <c r="A213" t="str">
        <v>2023-2-COM-EM-LE-1</v>
      </c>
      <c r="B213" t="s">
        <v>809</v>
      </c>
      <c r="C213" s="74" t="s">
        <v>390</v>
      </c>
      <c r="D213" s="74" t="s">
        <v>936</v>
      </c>
      <c r="E213" s="92">
        <v>45141</v>
      </c>
      <c r="F213" s="95">
        <v>38.200000000000003</v>
      </c>
      <c r="G213" s="96">
        <v>1.85</v>
      </c>
      <c r="H213" s="96">
        <v>0.47</v>
      </c>
    </row>
    <row r="214" spans="1:8" x14ac:dyDescent="0.2">
      <c r="A214" t="str">
        <v>2023-2-COM-EM-LE-2</v>
      </c>
      <c r="B214" t="s">
        <v>646</v>
      </c>
      <c r="C214" s="74" t="s">
        <v>391</v>
      </c>
      <c r="D214" s="74" t="s">
        <v>936</v>
      </c>
      <c r="E214" s="92">
        <v>45141</v>
      </c>
      <c r="F214" s="95">
        <v>15.2</v>
      </c>
      <c r="G214" s="96">
        <v>1.89</v>
      </c>
      <c r="H214" s="96">
        <v>0.05</v>
      </c>
    </row>
    <row r="215" spans="1:8" x14ac:dyDescent="0.2">
      <c r="A215" t="str">
        <v>2023-2-COM-EM-LE-3</v>
      </c>
      <c r="B215" t="s">
        <v>810</v>
      </c>
      <c r="C215" s="74" t="s">
        <v>392</v>
      </c>
      <c r="D215" s="74" t="s">
        <v>936</v>
      </c>
      <c r="E215" s="92">
        <v>45141</v>
      </c>
      <c r="F215" s="95">
        <v>25.9</v>
      </c>
      <c r="G215" s="96">
        <v>1.82</v>
      </c>
      <c r="H215" s="96">
        <v>0.75</v>
      </c>
    </row>
    <row r="216" spans="1:8" x14ac:dyDescent="0.2">
      <c r="A216" t="str">
        <v>2023-2-COM-SR-LE-1</v>
      </c>
      <c r="B216" t="s">
        <v>813</v>
      </c>
      <c r="C216" s="74" t="s">
        <v>393</v>
      </c>
      <c r="D216" s="74" t="s">
        <v>936</v>
      </c>
      <c r="E216" s="92">
        <v>45145</v>
      </c>
      <c r="F216" s="95">
        <v>36.200000000000003</v>
      </c>
      <c r="G216" s="96">
        <v>1.86</v>
      </c>
      <c r="H216" s="96">
        <v>0.93</v>
      </c>
    </row>
    <row r="217" spans="1:8" x14ac:dyDescent="0.2">
      <c r="A217" t="str">
        <v>2023-2-COM-SR-LE-2</v>
      </c>
      <c r="B217" t="s">
        <v>698</v>
      </c>
      <c r="C217" s="74" t="s">
        <v>394</v>
      </c>
      <c r="D217" s="74" t="s">
        <v>936</v>
      </c>
      <c r="E217" s="92">
        <v>45145</v>
      </c>
      <c r="F217" s="95">
        <v>22.8</v>
      </c>
      <c r="G217" s="96">
        <v>1.88</v>
      </c>
      <c r="H217" s="96">
        <v>0.56000000000000005</v>
      </c>
    </row>
    <row r="218" spans="1:8" x14ac:dyDescent="0.2">
      <c r="A218" t="str">
        <v>2023-2-COM-SR-LE-3</v>
      </c>
      <c r="B218" t="s">
        <v>814</v>
      </c>
      <c r="C218" s="74" t="s">
        <v>395</v>
      </c>
      <c r="D218" s="74" t="s">
        <v>936</v>
      </c>
      <c r="E218" s="92">
        <v>45145</v>
      </c>
      <c r="F218" s="95">
        <v>37.9</v>
      </c>
      <c r="G218" s="96">
        <v>1.92</v>
      </c>
      <c r="H218" s="96">
        <v>0.12</v>
      </c>
    </row>
    <row r="219" spans="1:8" x14ac:dyDescent="0.2">
      <c r="A219" t="str">
        <v>2023-2-VBS-CL-LE-1</v>
      </c>
      <c r="B219" t="s">
        <v>817</v>
      </c>
      <c r="C219" s="74" t="s">
        <v>396</v>
      </c>
      <c r="D219" s="74" t="s">
        <v>936</v>
      </c>
      <c r="E219" s="92">
        <v>45145</v>
      </c>
      <c r="F219" s="95">
        <v>10.6</v>
      </c>
      <c r="G219" s="96">
        <v>1.96</v>
      </c>
      <c r="H219" s="96">
        <v>0.08</v>
      </c>
    </row>
    <row r="220" spans="1:8" x14ac:dyDescent="0.2">
      <c r="A220" t="str">
        <v>2023-2-VBS-CL-LE-2</v>
      </c>
      <c r="B220" t="s">
        <v>723</v>
      </c>
      <c r="C220" s="74" t="s">
        <v>397</v>
      </c>
      <c r="D220" s="74" t="s">
        <v>936</v>
      </c>
      <c r="E220" s="92">
        <v>45145</v>
      </c>
      <c r="F220" s="95">
        <v>20.9</v>
      </c>
      <c r="G220" s="96">
        <v>1.78</v>
      </c>
      <c r="H220" s="96">
        <v>0.72</v>
      </c>
    </row>
    <row r="221" spans="1:8" x14ac:dyDescent="0.2">
      <c r="A221" t="str">
        <v>2023-2-VBS-CL-LE-3</v>
      </c>
      <c r="B221" t="s">
        <v>818</v>
      </c>
      <c r="C221" s="74" t="s">
        <v>398</v>
      </c>
      <c r="D221" s="74" t="s">
        <v>936</v>
      </c>
      <c r="E221" s="92">
        <v>45145</v>
      </c>
      <c r="F221" s="95">
        <v>49.6</v>
      </c>
      <c r="G221" s="96">
        <v>1.67</v>
      </c>
      <c r="H221" s="96">
        <v>0.27</v>
      </c>
    </row>
    <row r="222" spans="1:8" x14ac:dyDescent="0.2">
      <c r="A222" t="str">
        <v>2023-2-VBS-PR-LE-1</v>
      </c>
      <c r="B222" t="s">
        <v>819</v>
      </c>
      <c r="C222" s="74" t="s">
        <v>399</v>
      </c>
      <c r="D222" s="74" t="s">
        <v>936</v>
      </c>
      <c r="E222" s="92">
        <v>45145</v>
      </c>
      <c r="F222" s="95">
        <v>12.1</v>
      </c>
      <c r="G222" s="96">
        <v>1.93</v>
      </c>
      <c r="H222" s="96">
        <v>0.31</v>
      </c>
    </row>
    <row r="223" spans="1:8" x14ac:dyDescent="0.2">
      <c r="A223" t="str">
        <v>2023-2-VBS-PR-LE-2</v>
      </c>
      <c r="B223" t="s">
        <v>731</v>
      </c>
      <c r="C223" s="74" t="s">
        <v>400</v>
      </c>
      <c r="D223" s="74" t="s">
        <v>936</v>
      </c>
      <c r="E223" s="92">
        <v>45145</v>
      </c>
      <c r="F223" s="95">
        <v>5.5</v>
      </c>
      <c r="G223" s="96">
        <v>1.84</v>
      </c>
      <c r="H223" s="96">
        <v>0.74</v>
      </c>
    </row>
    <row r="224" spans="1:8" x14ac:dyDescent="0.2">
      <c r="A224" t="str">
        <v>2023-2-VBS-PR-LE-3</v>
      </c>
      <c r="B224" t="s">
        <v>820</v>
      </c>
      <c r="C224" s="74" t="s">
        <v>401</v>
      </c>
      <c r="D224" s="74" t="s">
        <v>936</v>
      </c>
      <c r="E224" s="92">
        <v>45145</v>
      </c>
      <c r="F224" s="95">
        <v>47.2</v>
      </c>
      <c r="G224" s="96">
        <v>1.87</v>
      </c>
      <c r="H224" s="96">
        <v>1.1000000000000001</v>
      </c>
    </row>
    <row r="225" spans="1:8" x14ac:dyDescent="0.2">
      <c r="A225" t="str">
        <v>2023-2-VBS-HC-LE-1</v>
      </c>
      <c r="B225" t="s">
        <v>823</v>
      </c>
      <c r="C225" s="74" t="s">
        <v>402</v>
      </c>
      <c r="D225" s="74" t="s">
        <v>936</v>
      </c>
      <c r="E225" s="92">
        <v>45145</v>
      </c>
      <c r="F225" s="95">
        <v>11</v>
      </c>
      <c r="G225" s="96">
        <v>1.87</v>
      </c>
      <c r="H225" s="96">
        <v>0.26</v>
      </c>
    </row>
    <row r="226" spans="1:8" x14ac:dyDescent="0.2">
      <c r="A226" t="str">
        <v>2023-2-VBS-HC-LE-2</v>
      </c>
      <c r="B226" t="s">
        <v>739</v>
      </c>
      <c r="C226" s="74" t="s">
        <v>403</v>
      </c>
      <c r="D226" s="74" t="s">
        <v>936</v>
      </c>
      <c r="E226" s="92">
        <v>45145</v>
      </c>
      <c r="F226" s="95">
        <v>20.5</v>
      </c>
      <c r="G226" s="96">
        <v>1.99</v>
      </c>
      <c r="H226" s="96">
        <v>0.24</v>
      </c>
    </row>
    <row r="227" spans="1:8" x14ac:dyDescent="0.2">
      <c r="A227" t="str">
        <v>2023-2-VBS-HC-LE-3</v>
      </c>
      <c r="B227" t="s">
        <v>824</v>
      </c>
      <c r="C227" s="74" t="s">
        <v>404</v>
      </c>
      <c r="D227" s="74" t="s">
        <v>936</v>
      </c>
      <c r="E227" s="92">
        <v>45145</v>
      </c>
      <c r="F227" s="95">
        <v>33.299999999999997</v>
      </c>
      <c r="G227" s="96">
        <v>1.86</v>
      </c>
      <c r="H227" s="96">
        <v>0.4</v>
      </c>
    </row>
    <row r="228" spans="1:8" x14ac:dyDescent="0.2">
      <c r="A228" t="str">
        <v>2023-2-VBS-SP-LE-1</v>
      </c>
      <c r="B228" t="s">
        <v>825</v>
      </c>
      <c r="C228" s="74" t="s">
        <v>405</v>
      </c>
      <c r="D228" s="74" t="s">
        <v>936</v>
      </c>
      <c r="E228" s="92">
        <v>45145</v>
      </c>
      <c r="F228" s="95">
        <v>8.8000000000000007</v>
      </c>
      <c r="G228" s="96">
        <v>1.89</v>
      </c>
      <c r="H228" s="96">
        <v>0.24</v>
      </c>
    </row>
    <row r="229" spans="1:8" x14ac:dyDescent="0.2">
      <c r="A229" t="str">
        <v>2023-2-VBS-SP-LE-2</v>
      </c>
      <c r="B229" t="s">
        <v>650</v>
      </c>
      <c r="C229" s="74" t="s">
        <v>406</v>
      </c>
      <c r="D229" s="74" t="s">
        <v>936</v>
      </c>
      <c r="E229" s="92">
        <v>45145</v>
      </c>
      <c r="F229" s="95">
        <v>11.7</v>
      </c>
      <c r="G229" s="96">
        <v>1.9</v>
      </c>
      <c r="H229" s="96">
        <v>0.13</v>
      </c>
    </row>
    <row r="230" spans="1:8" x14ac:dyDescent="0.2">
      <c r="A230" t="str">
        <v>2023-2-VBS-SP-LE-3</v>
      </c>
      <c r="B230" t="s">
        <v>826</v>
      </c>
      <c r="C230" s="74" t="s">
        <v>407</v>
      </c>
      <c r="D230" s="74" t="s">
        <v>936</v>
      </c>
      <c r="E230" s="92">
        <v>45145</v>
      </c>
      <c r="F230" s="95">
        <v>22.1</v>
      </c>
      <c r="G230" s="96">
        <v>1.76</v>
      </c>
      <c r="H230" s="96">
        <v>0.14000000000000001</v>
      </c>
    </row>
    <row r="231" spans="1:8" x14ac:dyDescent="0.2">
      <c r="A231" t="str">
        <v>2023-2-VBS-LI-LE-1</v>
      </c>
      <c r="B231" t="s">
        <v>827</v>
      </c>
      <c r="C231" s="74" t="s">
        <v>408</v>
      </c>
      <c r="D231" s="74" t="s">
        <v>936</v>
      </c>
      <c r="E231" s="92">
        <v>45145</v>
      </c>
      <c r="F231" s="95">
        <v>19.100000000000001</v>
      </c>
      <c r="G231" s="96">
        <v>1.88</v>
      </c>
      <c r="H231" s="96">
        <v>1.02</v>
      </c>
    </row>
    <row r="232" spans="1:8" x14ac:dyDescent="0.2">
      <c r="A232" t="str">
        <v>2023-2-VBS-LI-LE-2</v>
      </c>
      <c r="B232" t="s">
        <v>654</v>
      </c>
      <c r="C232" s="74" t="s">
        <v>409</v>
      </c>
      <c r="D232" s="74" t="s">
        <v>936</v>
      </c>
      <c r="E232" s="92">
        <v>45145</v>
      </c>
      <c r="F232" s="95">
        <v>20.5</v>
      </c>
      <c r="G232" s="96">
        <v>1.76</v>
      </c>
      <c r="H232" s="96">
        <v>0.23</v>
      </c>
    </row>
    <row r="233" spans="1:8" x14ac:dyDescent="0.2">
      <c r="A233" t="str">
        <v>2023-2-VBS-LI-LE-3</v>
      </c>
      <c r="B233" t="s">
        <v>828</v>
      </c>
      <c r="C233" s="74" t="s">
        <v>410</v>
      </c>
      <c r="D233" s="74" t="s">
        <v>936</v>
      </c>
      <c r="E233" s="92">
        <v>45145</v>
      </c>
      <c r="F233" s="95">
        <v>20.6</v>
      </c>
      <c r="G233" s="96">
        <v>1.83</v>
      </c>
      <c r="H233" s="96">
        <v>0.83</v>
      </c>
    </row>
    <row r="234" spans="1:8" x14ac:dyDescent="0.2">
      <c r="A234" t="str">
        <v>2023-2-VBS-FR-LE-1</v>
      </c>
      <c r="B234" t="s">
        <v>821</v>
      </c>
      <c r="C234" s="74" t="s">
        <v>411</v>
      </c>
      <c r="D234" s="74" t="s">
        <v>936</v>
      </c>
      <c r="E234" s="92">
        <v>45145</v>
      </c>
      <c r="F234" s="95">
        <v>32.200000000000003</v>
      </c>
      <c r="G234" s="96">
        <v>1.84</v>
      </c>
      <c r="H234" s="96">
        <v>0.31</v>
      </c>
    </row>
    <row r="235" spans="1:8" x14ac:dyDescent="0.2">
      <c r="A235" t="str">
        <v>2023-2-VBS-FR-LE-2</v>
      </c>
      <c r="B235" t="s">
        <v>658</v>
      </c>
      <c r="C235" s="74" t="s">
        <v>412</v>
      </c>
      <c r="D235" s="74" t="s">
        <v>936</v>
      </c>
      <c r="E235" s="92">
        <v>45145</v>
      </c>
      <c r="F235" s="95">
        <v>19.100000000000001</v>
      </c>
      <c r="G235" s="96">
        <v>1.76</v>
      </c>
      <c r="H235" s="96">
        <v>0.54</v>
      </c>
    </row>
    <row r="236" spans="1:8" x14ac:dyDescent="0.2">
      <c r="A236" t="str">
        <v>2023-2-VBS-FR-LE-3</v>
      </c>
      <c r="B236" t="s">
        <v>822</v>
      </c>
      <c r="C236" s="74" t="s">
        <v>413</v>
      </c>
      <c r="D236" s="74" t="s">
        <v>936</v>
      </c>
      <c r="E236" s="92">
        <v>45145</v>
      </c>
      <c r="F236" s="95">
        <v>19.7</v>
      </c>
      <c r="G236" s="96">
        <v>1.81</v>
      </c>
      <c r="H236" s="96">
        <v>0.2</v>
      </c>
    </row>
    <row r="237" spans="1:8" x14ac:dyDescent="0.2">
      <c r="A237" t="str">
        <v>2023-2-MIC-CL-LE-1</v>
      </c>
      <c r="B237" t="s">
        <v>833</v>
      </c>
      <c r="C237" s="74" t="s">
        <v>414</v>
      </c>
      <c r="D237" s="74" t="s">
        <v>935</v>
      </c>
      <c r="E237" s="92">
        <v>45145</v>
      </c>
      <c r="F237" s="95">
        <v>2.8</v>
      </c>
      <c r="G237" s="96">
        <v>1.38</v>
      </c>
      <c r="H237" s="96">
        <v>0.19</v>
      </c>
    </row>
    <row r="238" spans="1:8" x14ac:dyDescent="0.2">
      <c r="A238" t="str">
        <v>2023-2-MIC-CL-LE-2</v>
      </c>
      <c r="B238" t="s">
        <v>758</v>
      </c>
      <c r="C238" s="74" t="s">
        <v>415</v>
      </c>
      <c r="D238" s="74" t="s">
        <v>935</v>
      </c>
      <c r="E238" s="92">
        <v>45145</v>
      </c>
      <c r="F238" s="95">
        <v>3.1</v>
      </c>
      <c r="G238" s="96">
        <v>1.36</v>
      </c>
      <c r="H238" s="96">
        <v>0.03</v>
      </c>
    </row>
    <row r="239" spans="1:8" x14ac:dyDescent="0.2">
      <c r="A239" t="str">
        <v>2023-2-MIC-CL-LE-3</v>
      </c>
      <c r="B239" t="s">
        <v>834</v>
      </c>
      <c r="C239" s="74" t="s">
        <v>416</v>
      </c>
      <c r="D239" s="74" t="s">
        <v>935</v>
      </c>
      <c r="E239" s="92">
        <v>45145</v>
      </c>
      <c r="F239" s="95">
        <v>2.9</v>
      </c>
      <c r="G239" s="96">
        <v>1.33</v>
      </c>
      <c r="H239" s="96">
        <v>0.05</v>
      </c>
    </row>
    <row r="240" spans="1:8" x14ac:dyDescent="0.2">
      <c r="A240" t="str">
        <v>2023-2-MIC-HC-LE-1</v>
      </c>
      <c r="B240" t="s">
        <v>835</v>
      </c>
      <c r="C240" s="74" t="s">
        <v>417</v>
      </c>
      <c r="D240" s="74" t="s">
        <v>935</v>
      </c>
      <c r="E240" s="92">
        <v>45146</v>
      </c>
      <c r="F240" s="95">
        <v>2.6</v>
      </c>
      <c r="G240" s="96">
        <v>2</v>
      </c>
      <c r="H240" s="96">
        <v>0.05</v>
      </c>
    </row>
    <row r="241" spans="1:8" x14ac:dyDescent="0.2">
      <c r="A241" t="str">
        <v>2023-2-MIC-HC-LE-2</v>
      </c>
      <c r="B241" t="s">
        <v>763</v>
      </c>
      <c r="C241" s="74" t="s">
        <v>418</v>
      </c>
      <c r="D241" s="74" t="s">
        <v>935</v>
      </c>
      <c r="E241" s="92">
        <v>45146</v>
      </c>
      <c r="F241" s="95">
        <v>4.5999999999999996</v>
      </c>
      <c r="G241" s="96">
        <v>1.84</v>
      </c>
      <c r="H241" s="96">
        <v>0.3</v>
      </c>
    </row>
    <row r="242" spans="1:8" x14ac:dyDescent="0.2">
      <c r="A242" t="str">
        <v>2023-2-MIC-HC-LE-3</v>
      </c>
      <c r="B242" t="s">
        <v>836</v>
      </c>
      <c r="C242" s="74" t="s">
        <v>419</v>
      </c>
      <c r="D242" s="74" t="s">
        <v>935</v>
      </c>
      <c r="E242" s="92">
        <v>45146</v>
      </c>
      <c r="F242" s="95">
        <v>5.0999999999999996</v>
      </c>
      <c r="G242" s="96">
        <v>2.19</v>
      </c>
      <c r="H242" s="96">
        <v>0.1</v>
      </c>
    </row>
    <row r="243" spans="1:8" x14ac:dyDescent="0.2">
      <c r="A243" t="str">
        <v>2023-2-MIC-SP-LE-1</v>
      </c>
      <c r="B243" t="s">
        <v>829</v>
      </c>
      <c r="C243" s="74" t="s">
        <v>420</v>
      </c>
      <c r="D243" s="74" t="s">
        <v>935</v>
      </c>
      <c r="E243" s="92">
        <v>45146</v>
      </c>
      <c r="F243" s="95">
        <v>14</v>
      </c>
      <c r="G243" s="96">
        <v>1.97</v>
      </c>
      <c r="H243" s="96">
        <v>0.77</v>
      </c>
    </row>
    <row r="244" spans="1:8" x14ac:dyDescent="0.2">
      <c r="A244" t="str">
        <v>2023-2-MIC-SP-LE-2</v>
      </c>
      <c r="B244" t="s">
        <v>661</v>
      </c>
      <c r="C244" s="74" t="s">
        <v>421</v>
      </c>
      <c r="D244" s="74" t="s">
        <v>935</v>
      </c>
      <c r="E244" s="92">
        <v>45146</v>
      </c>
      <c r="F244" s="95">
        <v>11.4</v>
      </c>
      <c r="G244" s="96">
        <v>1.93</v>
      </c>
      <c r="H244" s="96">
        <v>0.1</v>
      </c>
    </row>
    <row r="245" spans="1:8" x14ac:dyDescent="0.2">
      <c r="A245" t="str">
        <v>2023-2-MIC-SP-LE-3</v>
      </c>
      <c r="B245" t="s">
        <v>830</v>
      </c>
      <c r="C245" s="74" t="s">
        <v>422</v>
      </c>
      <c r="D245" s="74" t="s">
        <v>935</v>
      </c>
      <c r="E245" s="92">
        <v>45146</v>
      </c>
      <c r="F245" s="95">
        <v>20.8</v>
      </c>
      <c r="G245" s="96">
        <v>1.83</v>
      </c>
      <c r="H245" s="96">
        <v>0.5</v>
      </c>
    </row>
    <row r="246" spans="1:8" x14ac:dyDescent="0.2">
      <c r="A246" t="str">
        <v>2023-2-MIC-LI-LE-1</v>
      </c>
      <c r="B246" t="s">
        <v>831</v>
      </c>
      <c r="C246" s="74" t="s">
        <v>423</v>
      </c>
      <c r="D246" s="74" t="s">
        <v>935</v>
      </c>
      <c r="E246" s="92">
        <v>45146</v>
      </c>
      <c r="F246" s="95">
        <v>5.3</v>
      </c>
      <c r="G246" s="96">
        <v>2.17</v>
      </c>
      <c r="H246" s="96">
        <v>0.28000000000000003</v>
      </c>
    </row>
    <row r="247" spans="1:8" x14ac:dyDescent="0.2">
      <c r="A247" t="str">
        <v>2023-2-MIC-LI-LE-2</v>
      </c>
      <c r="B247" t="s">
        <v>664</v>
      </c>
      <c r="C247" s="74" t="s">
        <v>424</v>
      </c>
      <c r="D247" s="74" t="s">
        <v>935</v>
      </c>
      <c r="E247" s="92">
        <v>45146</v>
      </c>
      <c r="F247" s="95">
        <v>4.2</v>
      </c>
      <c r="G247" s="96">
        <v>2.14</v>
      </c>
      <c r="H247" s="96">
        <v>0.25</v>
      </c>
    </row>
    <row r="248" spans="1:8" x14ac:dyDescent="0.2">
      <c r="A248" t="str">
        <v>2023-2-MIC-LI-LE-3</v>
      </c>
      <c r="B248" t="s">
        <v>832</v>
      </c>
      <c r="C248" s="74" t="s">
        <v>425</v>
      </c>
      <c r="D248" s="74" t="s">
        <v>935</v>
      </c>
      <c r="E248" s="92">
        <v>45146</v>
      </c>
      <c r="F248" s="95">
        <v>19.2</v>
      </c>
      <c r="G248" s="96">
        <v>1.65</v>
      </c>
      <c r="H248" s="96">
        <v>0.3</v>
      </c>
    </row>
    <row r="249" spans="1:8" x14ac:dyDescent="0.2">
      <c r="A249" t="str">
        <v>2023-2-MIC-EM-LE-1</v>
      </c>
      <c r="B249" t="s">
        <v>837</v>
      </c>
      <c r="C249" s="74" t="s">
        <v>426</v>
      </c>
      <c r="D249" s="74" t="s">
        <v>935</v>
      </c>
      <c r="E249" s="92">
        <v>45146</v>
      </c>
      <c r="F249" s="95">
        <v>13.4</v>
      </c>
      <c r="G249" s="96">
        <v>1.97</v>
      </c>
      <c r="H249" s="96">
        <v>0.12</v>
      </c>
    </row>
    <row r="250" spans="1:8" x14ac:dyDescent="0.2">
      <c r="A250" t="str">
        <v>2023-2-MIC-EM-LE-2</v>
      </c>
      <c r="B250" t="s">
        <v>667</v>
      </c>
      <c r="C250" s="74" t="s">
        <v>427</v>
      </c>
      <c r="D250" s="74" t="s">
        <v>935</v>
      </c>
      <c r="E250" s="92">
        <v>45146</v>
      </c>
      <c r="F250" s="95">
        <v>8.4</v>
      </c>
      <c r="G250" s="96">
        <v>1.89</v>
      </c>
      <c r="H250" s="96">
        <v>0.12</v>
      </c>
    </row>
    <row r="251" spans="1:8" x14ac:dyDescent="0.2">
      <c r="A251" t="str">
        <v>2023-2-MIC-EM-LE-3</v>
      </c>
      <c r="B251" t="s">
        <v>838</v>
      </c>
      <c r="C251" s="74" t="s">
        <v>428</v>
      </c>
      <c r="D251" s="74" t="s">
        <v>935</v>
      </c>
      <c r="E251" s="92">
        <v>45146</v>
      </c>
      <c r="F251" s="95">
        <v>16.5</v>
      </c>
      <c r="G251" s="96">
        <v>2.0299999999999998</v>
      </c>
      <c r="H251" s="96">
        <v>0.06</v>
      </c>
    </row>
    <row r="252" spans="1:8" x14ac:dyDescent="0.2">
      <c r="A252" t="str">
        <v>2023-2-MIB-CL-LE-1</v>
      </c>
      <c r="B252" t="s">
        <v>839</v>
      </c>
      <c r="C252" s="74" t="s">
        <v>429</v>
      </c>
      <c r="D252" s="74" t="s">
        <v>935</v>
      </c>
      <c r="E252" s="92">
        <v>45146</v>
      </c>
      <c r="F252" s="95">
        <v>5.6</v>
      </c>
      <c r="G252" s="96">
        <v>1.85</v>
      </c>
      <c r="H252" s="96">
        <v>0.08</v>
      </c>
    </row>
    <row r="253" spans="1:8" x14ac:dyDescent="0.2">
      <c r="A253" t="str">
        <v>2023-2-MIB-CL-LE-2</v>
      </c>
      <c r="B253" t="s">
        <v>840</v>
      </c>
      <c r="C253" s="74" t="s">
        <v>430</v>
      </c>
      <c r="D253" s="74" t="s">
        <v>935</v>
      </c>
      <c r="E253" s="92">
        <v>45146</v>
      </c>
      <c r="F253" s="95">
        <v>4.2</v>
      </c>
      <c r="G253" s="96">
        <v>2.0099999999999998</v>
      </c>
      <c r="H253" s="96">
        <v>0.14000000000000001</v>
      </c>
    </row>
    <row r="254" spans="1:8" x14ac:dyDescent="0.2">
      <c r="A254" t="str">
        <v>2023-2-MIB-CL-LE-3</v>
      </c>
      <c r="B254" t="s">
        <v>841</v>
      </c>
      <c r="C254" s="74" t="s">
        <v>431</v>
      </c>
      <c r="D254" s="74" t="s">
        <v>935</v>
      </c>
      <c r="E254" s="92">
        <v>45147</v>
      </c>
      <c r="F254" s="95">
        <v>5.6</v>
      </c>
      <c r="G254" s="96">
        <v>2.46</v>
      </c>
      <c r="H254" s="96">
        <v>0.02</v>
      </c>
    </row>
    <row r="255" spans="1:8" x14ac:dyDescent="0.2">
      <c r="A255" t="str">
        <v>2023-2-MIB-HC-LE-1</v>
      </c>
      <c r="B255" t="s">
        <v>842</v>
      </c>
      <c r="C255" s="74" t="s">
        <v>432</v>
      </c>
      <c r="D255" s="74" t="s">
        <v>935</v>
      </c>
      <c r="E255" s="92">
        <v>45147</v>
      </c>
      <c r="F255" s="95">
        <v>4.3</v>
      </c>
      <c r="G255" s="96">
        <v>2.0099999999999998</v>
      </c>
      <c r="H255" s="96">
        <v>0.05</v>
      </c>
    </row>
    <row r="256" spans="1:8" x14ac:dyDescent="0.2">
      <c r="A256" t="str">
        <v>2023-2-MIB-HC-LE-2</v>
      </c>
      <c r="B256" t="s">
        <v>843</v>
      </c>
      <c r="C256" s="74" t="s">
        <v>433</v>
      </c>
      <c r="D256" s="74" t="s">
        <v>935</v>
      </c>
      <c r="E256" s="92">
        <v>45147</v>
      </c>
      <c r="F256" s="95">
        <v>12</v>
      </c>
      <c r="G256" s="96">
        <v>2.16</v>
      </c>
      <c r="H256" s="96">
        <v>0.03</v>
      </c>
    </row>
    <row r="257" spans="1:8" x14ac:dyDescent="0.2">
      <c r="A257" t="str">
        <v>2023-2-MIB-HC-LE-3</v>
      </c>
      <c r="B257" t="s">
        <v>844</v>
      </c>
      <c r="C257" s="74" t="s">
        <v>434</v>
      </c>
      <c r="D257" s="74" t="s">
        <v>935</v>
      </c>
      <c r="E257" s="92">
        <v>45147</v>
      </c>
      <c r="F257" s="95">
        <v>4.5999999999999996</v>
      </c>
      <c r="G257" s="96">
        <v>1.97</v>
      </c>
      <c r="H257" s="96">
        <v>0.05</v>
      </c>
    </row>
    <row r="258" spans="1:8" x14ac:dyDescent="0.2">
      <c r="A258" t="str">
        <v>2023-2-MIB-SP-LE-1</v>
      </c>
      <c r="B258" t="s">
        <v>845</v>
      </c>
      <c r="C258" s="74" t="s">
        <v>435</v>
      </c>
      <c r="D258" s="74" t="s">
        <v>935</v>
      </c>
      <c r="E258" s="92">
        <v>45147</v>
      </c>
      <c r="F258" s="95">
        <v>7.4</v>
      </c>
      <c r="G258" s="96">
        <v>1.95</v>
      </c>
      <c r="H258" s="96">
        <v>0.05</v>
      </c>
    </row>
    <row r="259" spans="1:8" x14ac:dyDescent="0.2">
      <c r="A259" t="str">
        <v>2023-2-MIB-SP-LE-2</v>
      </c>
      <c r="B259" t="s">
        <v>670</v>
      </c>
      <c r="C259" s="74" t="s">
        <v>436</v>
      </c>
      <c r="D259" s="74" t="s">
        <v>935</v>
      </c>
      <c r="E259" s="92">
        <v>45147</v>
      </c>
      <c r="F259" s="95">
        <v>4.2</v>
      </c>
      <c r="G259" s="96">
        <v>1.98</v>
      </c>
      <c r="H259" s="96">
        <v>0.04</v>
      </c>
    </row>
    <row r="260" spans="1:8" x14ac:dyDescent="0.2">
      <c r="A260" t="str">
        <v>2023-2-MIB-SP-LE-3</v>
      </c>
      <c r="B260" t="s">
        <v>846</v>
      </c>
      <c r="C260" s="74" t="s">
        <v>437</v>
      </c>
      <c r="D260" s="74" t="s">
        <v>935</v>
      </c>
      <c r="E260" s="92">
        <v>45147</v>
      </c>
      <c r="F260" s="95">
        <v>4.2</v>
      </c>
      <c r="G260" s="96">
        <v>2.0299999999999998</v>
      </c>
      <c r="H260" s="96">
        <v>0.1</v>
      </c>
    </row>
    <row r="261" spans="1:8" x14ac:dyDescent="0.2">
      <c r="A261" t="str">
        <v>2023-2-MIB-LI-LE-1</v>
      </c>
      <c r="B261" t="s">
        <v>847</v>
      </c>
      <c r="C261" s="74" t="s">
        <v>438</v>
      </c>
      <c r="D261" s="74" t="s">
        <v>935</v>
      </c>
      <c r="E261" s="92">
        <v>45147</v>
      </c>
      <c r="F261" s="95">
        <v>7.2</v>
      </c>
      <c r="G261" s="96">
        <v>1.76</v>
      </c>
      <c r="H261" s="96">
        <v>7.0000000000000007E-2</v>
      </c>
    </row>
    <row r="262" spans="1:8" x14ac:dyDescent="0.2">
      <c r="A262" t="str">
        <v>2023-2-MIB-LI-LE-2</v>
      </c>
      <c r="B262" t="s">
        <v>673</v>
      </c>
      <c r="C262" s="74" t="s">
        <v>439</v>
      </c>
      <c r="D262" s="74" t="s">
        <v>935</v>
      </c>
      <c r="E262" s="92">
        <v>45147</v>
      </c>
      <c r="F262" s="95">
        <v>6.6</v>
      </c>
      <c r="G262" s="96">
        <v>1.58</v>
      </c>
      <c r="H262" s="96">
        <v>0.13</v>
      </c>
    </row>
    <row r="263" spans="1:8" x14ac:dyDescent="0.2">
      <c r="A263" t="str">
        <v>2023-2-MIB-LI-LE-3</v>
      </c>
      <c r="B263" t="s">
        <v>848</v>
      </c>
      <c r="C263" s="74" t="s">
        <v>440</v>
      </c>
      <c r="D263" s="74" t="s">
        <v>935</v>
      </c>
      <c r="E263" s="92">
        <v>45147</v>
      </c>
      <c r="F263" s="95">
        <v>5.5</v>
      </c>
      <c r="G263" s="96">
        <v>1.89</v>
      </c>
      <c r="H263" s="96">
        <v>0.22</v>
      </c>
    </row>
    <row r="264" spans="1:8" x14ac:dyDescent="0.2">
      <c r="A264" t="str">
        <v>2023-2-MIB-EM-LE-1</v>
      </c>
      <c r="B264" t="s">
        <v>849</v>
      </c>
      <c r="C264" s="74" t="s">
        <v>441</v>
      </c>
      <c r="D264" s="74" t="s">
        <v>935</v>
      </c>
      <c r="E264" s="92">
        <v>45147</v>
      </c>
      <c r="F264" s="95">
        <v>8.4</v>
      </c>
      <c r="G264" s="96">
        <v>2</v>
      </c>
      <c r="H264" s="96">
        <v>0.04</v>
      </c>
    </row>
    <row r="265" spans="1:8" x14ac:dyDescent="0.2">
      <c r="A265" t="str">
        <v>2023-2-MIB-EM-LE-2</v>
      </c>
      <c r="B265" t="s">
        <v>676</v>
      </c>
      <c r="C265" s="74" t="s">
        <v>442</v>
      </c>
      <c r="D265" s="74" t="s">
        <v>935</v>
      </c>
      <c r="E265" s="92">
        <v>45147</v>
      </c>
      <c r="F265" s="95">
        <v>9</v>
      </c>
      <c r="G265" s="96">
        <v>1.92</v>
      </c>
      <c r="H265" s="96">
        <v>0.1</v>
      </c>
    </row>
    <row r="266" spans="1:8" x14ac:dyDescent="0.2">
      <c r="A266" t="str">
        <v>2023-2-MIB-EM-LE-3</v>
      </c>
      <c r="B266" t="s">
        <v>850</v>
      </c>
      <c r="C266" s="74" t="s">
        <v>443</v>
      </c>
      <c r="D266" s="74" t="s">
        <v>935</v>
      </c>
      <c r="E266" s="92">
        <v>45147</v>
      </c>
      <c r="F266" s="95">
        <v>10.1</v>
      </c>
      <c r="G266" s="96">
        <v>1.97</v>
      </c>
      <c r="H266" s="96">
        <v>0.11</v>
      </c>
    </row>
    <row r="267" spans="1:8" x14ac:dyDescent="0.2">
      <c r="A267" t="str">
        <v>2023-3-ASB-CL-LE-1</v>
      </c>
      <c r="B267" t="s">
        <v>851</v>
      </c>
      <c r="C267" s="74" t="s">
        <v>444</v>
      </c>
      <c r="D267" s="74" t="s">
        <v>944</v>
      </c>
      <c r="E267" s="92">
        <v>45183</v>
      </c>
      <c r="F267" s="95">
        <v>22.4</v>
      </c>
      <c r="G267" s="96">
        <v>1.89</v>
      </c>
      <c r="H267" s="96">
        <v>0.8</v>
      </c>
    </row>
    <row r="268" spans="1:8" x14ac:dyDescent="0.2">
      <c r="A268" t="str">
        <v>2023-3-ASB-CL-LE-2</v>
      </c>
      <c r="B268" t="s">
        <v>852</v>
      </c>
      <c r="C268" s="74" t="s">
        <v>445</v>
      </c>
      <c r="D268" s="74" t="s">
        <v>944</v>
      </c>
      <c r="E268" s="92">
        <v>45183</v>
      </c>
      <c r="F268" s="95">
        <v>11.8</v>
      </c>
      <c r="G268" s="96">
        <v>2.02</v>
      </c>
      <c r="H268" s="96">
        <v>1.1599999999999999</v>
      </c>
    </row>
    <row r="269" spans="1:8" x14ac:dyDescent="0.2">
      <c r="A269" t="str">
        <v>2023-3-ASB-CL-LE-3</v>
      </c>
      <c r="B269" t="s">
        <v>559</v>
      </c>
      <c r="C269" s="74" t="s">
        <v>446</v>
      </c>
      <c r="D269" s="74" t="s">
        <v>944</v>
      </c>
      <c r="E269" s="92">
        <v>45183</v>
      </c>
      <c r="F269" s="95">
        <v>13.5</v>
      </c>
      <c r="G269" s="96">
        <v>1.85</v>
      </c>
      <c r="H269" s="96">
        <v>0.28000000000000003</v>
      </c>
    </row>
    <row r="270" spans="1:8" x14ac:dyDescent="0.2">
      <c r="A270" t="str">
        <v>2023-3-ASB-PR-LE-1</v>
      </c>
      <c r="B270" t="s">
        <v>853</v>
      </c>
      <c r="C270" s="74" t="s">
        <v>447</v>
      </c>
      <c r="D270" s="74" t="s">
        <v>944</v>
      </c>
      <c r="E270" s="92">
        <v>45183</v>
      </c>
      <c r="F270" s="95">
        <v>16.600000000000001</v>
      </c>
      <c r="G270" s="96">
        <v>2.0299999999999998</v>
      </c>
      <c r="H270" s="96">
        <v>0.08</v>
      </c>
    </row>
    <row r="271" spans="1:8" x14ac:dyDescent="0.2">
      <c r="A271" t="str">
        <v>2023-3-ASB-PR-LE-2</v>
      </c>
      <c r="B271" t="s">
        <v>854</v>
      </c>
      <c r="C271" s="74" t="s">
        <v>448</v>
      </c>
      <c r="D271" s="74" t="s">
        <v>944</v>
      </c>
      <c r="E271" s="92">
        <v>45183</v>
      </c>
      <c r="F271" s="95">
        <v>9.6999999999999993</v>
      </c>
      <c r="G271" s="96">
        <v>2.12</v>
      </c>
      <c r="H271" s="96">
        <v>0.55000000000000004</v>
      </c>
    </row>
    <row r="272" spans="1:8" x14ac:dyDescent="0.2">
      <c r="A272" t="str">
        <v>2023-3-ASB-PR-LE-3</v>
      </c>
      <c r="B272" t="s">
        <v>567</v>
      </c>
      <c r="C272" s="74" t="s">
        <v>449</v>
      </c>
      <c r="D272" s="74" t="s">
        <v>944</v>
      </c>
      <c r="E272" s="92">
        <v>45183</v>
      </c>
      <c r="F272" s="95">
        <v>28.3</v>
      </c>
      <c r="G272" s="96">
        <v>2</v>
      </c>
      <c r="H272" s="96">
        <v>0.3</v>
      </c>
    </row>
    <row r="273" spans="1:8" x14ac:dyDescent="0.2">
      <c r="A273" t="str">
        <v>2023-3-ASB-HC-LE-1</v>
      </c>
      <c r="B273" t="s">
        <v>855</v>
      </c>
      <c r="C273" s="74" t="s">
        <v>450</v>
      </c>
      <c r="D273" s="74" t="s">
        <v>944</v>
      </c>
      <c r="E273" s="92">
        <v>45183</v>
      </c>
      <c r="F273" s="95">
        <v>29.8</v>
      </c>
      <c r="G273" s="96">
        <v>1.93</v>
      </c>
      <c r="H273" s="96">
        <v>1.23</v>
      </c>
    </row>
    <row r="274" spans="1:8" x14ac:dyDescent="0.2">
      <c r="A274" t="str">
        <v>2023-3-ASB-HC-LE-2</v>
      </c>
      <c r="B274" t="s">
        <v>856</v>
      </c>
      <c r="C274" s="74" t="s">
        <v>451</v>
      </c>
      <c r="D274" s="74" t="s">
        <v>944</v>
      </c>
      <c r="E274" s="92">
        <v>45183</v>
      </c>
      <c r="F274" s="95">
        <v>31.4</v>
      </c>
      <c r="G274" s="96">
        <v>1.91</v>
      </c>
      <c r="H274" s="96">
        <v>0.26</v>
      </c>
    </row>
    <row r="275" spans="1:8" x14ac:dyDescent="0.2">
      <c r="A275" t="str">
        <v>2023-3-ASB-HC-LE-3</v>
      </c>
      <c r="B275" t="s">
        <v>571</v>
      </c>
      <c r="C275" s="74" t="s">
        <v>452</v>
      </c>
      <c r="D275" s="74" t="s">
        <v>944</v>
      </c>
      <c r="E275" s="92">
        <v>45183</v>
      </c>
      <c r="F275" s="95">
        <v>31</v>
      </c>
      <c r="G275" s="96">
        <v>1.94</v>
      </c>
      <c r="H275" s="96">
        <v>0.34</v>
      </c>
    </row>
    <row r="276" spans="1:8" x14ac:dyDescent="0.2">
      <c r="A276" t="str">
        <v>2023-3-ASB-SP-LE-1</v>
      </c>
      <c r="B276" t="s">
        <v>857</v>
      </c>
      <c r="C276" s="74" t="s">
        <v>453</v>
      </c>
      <c r="D276" s="74" t="s">
        <v>944</v>
      </c>
      <c r="E276" s="92">
        <v>45183</v>
      </c>
      <c r="F276" s="95">
        <v>13.8</v>
      </c>
      <c r="G276" s="96">
        <v>1.9</v>
      </c>
      <c r="H276" s="96">
        <v>0.06</v>
      </c>
    </row>
    <row r="277" spans="1:8" x14ac:dyDescent="0.2">
      <c r="A277" t="str">
        <v>2023-3-ASB-SP-LE-2</v>
      </c>
      <c r="B277" t="s">
        <v>858</v>
      </c>
      <c r="C277" s="74" t="s">
        <v>454</v>
      </c>
      <c r="D277" s="74" t="s">
        <v>944</v>
      </c>
      <c r="E277" s="92">
        <v>45183</v>
      </c>
      <c r="F277" s="95">
        <v>23</v>
      </c>
      <c r="G277" s="96">
        <v>1.79</v>
      </c>
      <c r="H277" s="96">
        <v>0.16</v>
      </c>
    </row>
    <row r="278" spans="1:8" x14ac:dyDescent="0.2">
      <c r="A278" t="str">
        <v>2023-3-ASB-SP-LE-3</v>
      </c>
      <c r="B278" t="s">
        <v>583</v>
      </c>
      <c r="C278" s="74" t="s">
        <v>455</v>
      </c>
      <c r="D278" s="74" t="s">
        <v>944</v>
      </c>
      <c r="E278" s="92">
        <v>45183</v>
      </c>
      <c r="F278" s="95">
        <v>22.9</v>
      </c>
      <c r="G278" s="96">
        <v>1.92</v>
      </c>
      <c r="H278" s="96">
        <v>0.25</v>
      </c>
    </row>
    <row r="279" spans="1:8" x14ac:dyDescent="0.2">
      <c r="A279" t="str">
        <v>2023-3-ASB-LI-LE-1</v>
      </c>
      <c r="B279" t="s">
        <v>859</v>
      </c>
      <c r="C279" s="74" t="s">
        <v>456</v>
      </c>
      <c r="D279" s="74" t="s">
        <v>944</v>
      </c>
      <c r="E279" s="92">
        <v>45183</v>
      </c>
      <c r="F279" s="95">
        <v>6.4</v>
      </c>
      <c r="G279" s="96">
        <v>2.16</v>
      </c>
      <c r="H279" s="96">
        <v>0.71</v>
      </c>
    </row>
    <row r="280" spans="1:8" x14ac:dyDescent="0.2">
      <c r="A280" t="str">
        <v>2023-3-ASB-LI-LE-2</v>
      </c>
      <c r="B280" t="s">
        <v>860</v>
      </c>
      <c r="C280" s="74" t="s">
        <v>457</v>
      </c>
      <c r="D280" s="74" t="s">
        <v>944</v>
      </c>
      <c r="E280" s="92">
        <v>45183</v>
      </c>
      <c r="F280" s="95">
        <v>11</v>
      </c>
      <c r="G280" s="96">
        <v>1.92</v>
      </c>
      <c r="H280" s="96">
        <v>0.23</v>
      </c>
    </row>
    <row r="281" spans="1:8" x14ac:dyDescent="0.2">
      <c r="A281" t="str">
        <v>2023-3-ASB-LI-LE-3</v>
      </c>
      <c r="B281" t="s">
        <v>587</v>
      </c>
      <c r="C281" s="74" t="s">
        <v>458</v>
      </c>
      <c r="D281" s="74" t="s">
        <v>944</v>
      </c>
      <c r="E281" s="92">
        <v>45183</v>
      </c>
      <c r="F281" s="95">
        <v>20.3</v>
      </c>
      <c r="G281" s="96">
        <v>1.75</v>
      </c>
      <c r="H281" s="96">
        <v>0.17</v>
      </c>
    </row>
    <row r="282" spans="1:8" x14ac:dyDescent="0.2">
      <c r="A282" t="str">
        <v>2023-3-ASB-EM-LE-1</v>
      </c>
      <c r="B282" t="s">
        <v>861</v>
      </c>
      <c r="C282" s="74" t="s">
        <v>459</v>
      </c>
      <c r="D282" s="74" t="s">
        <v>944</v>
      </c>
      <c r="E282" s="92">
        <v>45183</v>
      </c>
      <c r="F282" s="95">
        <v>36.4</v>
      </c>
      <c r="G282" s="96">
        <v>1.64</v>
      </c>
      <c r="H282" s="96">
        <v>0.46</v>
      </c>
    </row>
    <row r="283" spans="1:8" x14ac:dyDescent="0.2">
      <c r="A283" t="str">
        <v>2023-3-ASB-EM-LE-2</v>
      </c>
      <c r="B283" t="s">
        <v>862</v>
      </c>
      <c r="C283" s="74" t="s">
        <v>460</v>
      </c>
      <c r="D283" s="74" t="s">
        <v>944</v>
      </c>
      <c r="E283" s="92">
        <v>45183</v>
      </c>
      <c r="F283" s="95">
        <v>29.7</v>
      </c>
      <c r="G283" s="96">
        <v>1.88</v>
      </c>
      <c r="H283" s="96">
        <v>0.22</v>
      </c>
    </row>
    <row r="284" spans="1:8" x14ac:dyDescent="0.2">
      <c r="A284" t="str">
        <v>2023-3-ASB-EM-LE-3</v>
      </c>
      <c r="B284" t="s">
        <v>591</v>
      </c>
      <c r="C284" s="74" t="s">
        <v>461</v>
      </c>
      <c r="D284" s="74" t="s">
        <v>944</v>
      </c>
      <c r="E284" s="92">
        <v>45183</v>
      </c>
      <c r="F284" s="95">
        <v>30.1</v>
      </c>
      <c r="G284" s="96">
        <v>1.81</v>
      </c>
      <c r="H284" s="96">
        <v>0.53</v>
      </c>
    </row>
    <row r="285" spans="1:8" x14ac:dyDescent="0.2">
      <c r="A285" t="str">
        <v>2023-3-PMB-CL-LE-1</v>
      </c>
      <c r="B285" t="s">
        <v>863</v>
      </c>
      <c r="C285" s="74" t="s">
        <v>462</v>
      </c>
      <c r="D285" s="74" t="s">
        <v>944</v>
      </c>
      <c r="E285" s="92">
        <v>45183</v>
      </c>
      <c r="F285" s="95">
        <v>36.1</v>
      </c>
      <c r="G285" s="96">
        <v>1.61</v>
      </c>
      <c r="H285" s="96">
        <v>0.37</v>
      </c>
    </row>
    <row r="286" spans="1:8" x14ac:dyDescent="0.2">
      <c r="A286" t="str">
        <v>2023-3-PMB-CL-LE-2</v>
      </c>
      <c r="B286" t="s">
        <v>864</v>
      </c>
      <c r="C286" s="74" t="s">
        <v>463</v>
      </c>
      <c r="D286" s="74" t="s">
        <v>944</v>
      </c>
      <c r="E286" s="92">
        <v>45183</v>
      </c>
      <c r="F286" s="95">
        <v>29.5</v>
      </c>
      <c r="G286" s="96">
        <v>1.71</v>
      </c>
      <c r="H286" s="96">
        <v>0.85</v>
      </c>
    </row>
    <row r="287" spans="1:8" x14ac:dyDescent="0.2">
      <c r="A287" t="str">
        <v>2023-3-PMB-CL-LE-3</v>
      </c>
      <c r="B287" t="s">
        <v>607</v>
      </c>
      <c r="C287" s="74" t="s">
        <v>464</v>
      </c>
      <c r="D287" s="74" t="s">
        <v>944</v>
      </c>
      <c r="E287" s="92">
        <v>45183</v>
      </c>
      <c r="F287" s="95">
        <v>13</v>
      </c>
      <c r="G287" s="96">
        <v>1.83</v>
      </c>
      <c r="H287" s="96">
        <v>0.35</v>
      </c>
    </row>
    <row r="288" spans="1:8" x14ac:dyDescent="0.2">
      <c r="A288" t="str">
        <v>2023-3-PMB-PR-LE-1</v>
      </c>
      <c r="B288" t="s">
        <v>865</v>
      </c>
      <c r="C288" s="74" t="s">
        <v>465</v>
      </c>
      <c r="D288" s="74" t="s">
        <v>944</v>
      </c>
      <c r="E288" s="92">
        <v>45183</v>
      </c>
      <c r="F288" s="95">
        <v>8.9</v>
      </c>
      <c r="G288" s="96">
        <v>1.69</v>
      </c>
      <c r="H288" s="96">
        <v>0.3</v>
      </c>
    </row>
    <row r="289" spans="1:8" x14ac:dyDescent="0.2">
      <c r="A289" t="str">
        <v>2023-3-PMB-PR-LE-2</v>
      </c>
      <c r="B289" t="s">
        <v>866</v>
      </c>
      <c r="C289" s="74" t="s">
        <v>466</v>
      </c>
      <c r="D289" s="74" t="s">
        <v>944</v>
      </c>
      <c r="E289" s="92">
        <v>45183</v>
      </c>
      <c r="F289" s="95">
        <v>24.1</v>
      </c>
      <c r="G289" s="96">
        <v>1.75</v>
      </c>
      <c r="H289" s="96">
        <v>0.2</v>
      </c>
    </row>
    <row r="290" spans="1:8" x14ac:dyDescent="0.2">
      <c r="A290" t="str">
        <v>2023-3-PMB-PR-LE-3</v>
      </c>
      <c r="B290" t="s">
        <v>614</v>
      </c>
      <c r="C290" s="74" t="s">
        <v>467</v>
      </c>
      <c r="D290" s="74" t="s">
        <v>944</v>
      </c>
      <c r="E290" s="92">
        <v>45183</v>
      </c>
      <c r="F290" s="95">
        <v>21.2</v>
      </c>
      <c r="G290" s="96">
        <v>1.71</v>
      </c>
      <c r="H290" s="96">
        <v>0.13</v>
      </c>
    </row>
    <row r="291" spans="1:8" x14ac:dyDescent="0.2">
      <c r="A291" t="str">
        <v>2023-3-PMB-HC-LE-1</v>
      </c>
      <c r="B291" t="s">
        <v>867</v>
      </c>
      <c r="C291" s="74" t="s">
        <v>468</v>
      </c>
      <c r="D291" s="74" t="s">
        <v>944</v>
      </c>
      <c r="E291" s="92">
        <v>45187</v>
      </c>
      <c r="F291" s="95">
        <v>12.6</v>
      </c>
      <c r="G291" s="96">
        <v>2.0299999999999998</v>
      </c>
      <c r="H291" s="96">
        <v>0.09</v>
      </c>
    </row>
    <row r="292" spans="1:8" x14ac:dyDescent="0.2">
      <c r="A292" t="str">
        <v>2023-3-PMB-HC-LE-2</v>
      </c>
      <c r="B292" t="s">
        <v>868</v>
      </c>
      <c r="C292" s="74" t="s">
        <v>469</v>
      </c>
      <c r="D292" s="74" t="s">
        <v>944</v>
      </c>
      <c r="E292" s="92">
        <v>45187</v>
      </c>
      <c r="F292" s="95">
        <v>6.7</v>
      </c>
      <c r="G292" s="96">
        <v>2.25</v>
      </c>
      <c r="H292" s="96">
        <v>7.0000000000000007E-2</v>
      </c>
    </row>
    <row r="293" spans="1:8" x14ac:dyDescent="0.2">
      <c r="A293" t="str">
        <v>2023-3-PMB-HC-LE-3</v>
      </c>
      <c r="B293" t="s">
        <v>623</v>
      </c>
      <c r="C293" s="74" t="s">
        <v>470</v>
      </c>
      <c r="D293" s="74" t="s">
        <v>944</v>
      </c>
      <c r="E293" s="92">
        <v>45187</v>
      </c>
      <c r="F293" s="95">
        <v>4.2</v>
      </c>
      <c r="G293" s="96">
        <v>2.61</v>
      </c>
      <c r="H293" s="96">
        <v>0.04</v>
      </c>
    </row>
    <row r="294" spans="1:8" x14ac:dyDescent="0.2">
      <c r="A294" t="str">
        <v>2023-3-PMB-SP-LE-1</v>
      </c>
      <c r="B294" t="s">
        <v>869</v>
      </c>
      <c r="C294" s="74" t="s">
        <v>471</v>
      </c>
      <c r="D294" s="74" t="s">
        <v>944</v>
      </c>
      <c r="E294" s="92">
        <v>45187</v>
      </c>
      <c r="F294" s="95">
        <v>8.1</v>
      </c>
      <c r="G294" s="96">
        <v>2.09</v>
      </c>
      <c r="H294" s="96">
        <v>0.28000000000000003</v>
      </c>
    </row>
    <row r="295" spans="1:8" x14ac:dyDescent="0.2">
      <c r="A295" t="str">
        <v>2023-3-PMB-SP-LE-2</v>
      </c>
      <c r="B295" t="s">
        <v>870</v>
      </c>
      <c r="C295" s="74" t="s">
        <v>472</v>
      </c>
      <c r="D295" s="74" t="s">
        <v>944</v>
      </c>
      <c r="E295" s="92">
        <v>45187</v>
      </c>
      <c r="F295" s="95">
        <v>9.6999999999999993</v>
      </c>
      <c r="G295" s="96">
        <v>2.04</v>
      </c>
      <c r="H295" s="96">
        <v>0.3</v>
      </c>
    </row>
    <row r="296" spans="1:8" x14ac:dyDescent="0.2">
      <c r="A296" t="str">
        <v>2023-3-PMB-SP-LE-3</v>
      </c>
      <c r="B296" t="s">
        <v>631</v>
      </c>
      <c r="C296" s="74" t="s">
        <v>473</v>
      </c>
      <c r="D296" s="74" t="s">
        <v>944</v>
      </c>
      <c r="E296" s="92">
        <v>45187</v>
      </c>
      <c r="F296" s="95">
        <v>10.4</v>
      </c>
      <c r="G296" s="96">
        <v>1.87</v>
      </c>
      <c r="H296" s="96">
        <v>0.32</v>
      </c>
    </row>
    <row r="297" spans="1:8" x14ac:dyDescent="0.2">
      <c r="A297" t="str">
        <v>2023-3-PMB-LI-LE-1</v>
      </c>
      <c r="B297" t="s">
        <v>871</v>
      </c>
      <c r="C297" s="74" t="s">
        <v>474</v>
      </c>
      <c r="D297" s="74" t="s">
        <v>944</v>
      </c>
      <c r="E297" s="92">
        <v>45187</v>
      </c>
      <c r="F297" s="95">
        <v>10</v>
      </c>
      <c r="G297" s="96">
        <v>1.99</v>
      </c>
      <c r="H297" s="96">
        <v>0.97</v>
      </c>
    </row>
    <row r="298" spans="1:8" x14ac:dyDescent="0.2">
      <c r="A298" t="str">
        <v>2023-3-PMB-LI-LE-2</v>
      </c>
      <c r="B298" t="s">
        <v>872</v>
      </c>
      <c r="C298" s="74" t="s">
        <v>475</v>
      </c>
      <c r="D298" s="74" t="s">
        <v>944</v>
      </c>
      <c r="E298" s="92">
        <v>45187</v>
      </c>
      <c r="F298" s="95">
        <v>12.5</v>
      </c>
      <c r="G298" s="96">
        <v>1.99</v>
      </c>
      <c r="H298" s="96">
        <v>0.06</v>
      </c>
    </row>
    <row r="299" spans="1:8" x14ac:dyDescent="0.2">
      <c r="A299" t="str">
        <v>2023-3-PMB-LI-LE-3</v>
      </c>
      <c r="B299" t="s">
        <v>635</v>
      </c>
      <c r="C299" s="74" t="s">
        <v>476</v>
      </c>
      <c r="D299" s="74" t="s">
        <v>944</v>
      </c>
      <c r="E299" s="92">
        <v>45187</v>
      </c>
      <c r="F299" s="95">
        <v>6.6</v>
      </c>
      <c r="G299" s="96">
        <v>1.98</v>
      </c>
      <c r="H299" s="96">
        <v>0.69</v>
      </c>
    </row>
    <row r="300" spans="1:8" x14ac:dyDescent="0.2">
      <c r="A300" t="str">
        <v>2023-3-PMB-EM-LE-1</v>
      </c>
      <c r="B300" t="s">
        <v>873</v>
      </c>
      <c r="C300" s="74" t="s">
        <v>477</v>
      </c>
      <c r="D300" s="74" t="s">
        <v>944</v>
      </c>
      <c r="E300" s="92">
        <v>45187</v>
      </c>
      <c r="F300" s="95">
        <v>6.9</v>
      </c>
      <c r="G300" s="96">
        <v>1.97</v>
      </c>
      <c r="H300" s="96">
        <v>1</v>
      </c>
    </row>
    <row r="301" spans="1:8" x14ac:dyDescent="0.2">
      <c r="A301" t="str">
        <v>2023-3-PMB-EM-LE-2</v>
      </c>
      <c r="B301" t="s">
        <v>874</v>
      </c>
      <c r="C301" s="74" t="s">
        <v>478</v>
      </c>
      <c r="D301" s="74" t="s">
        <v>944</v>
      </c>
      <c r="E301" s="92">
        <v>45187</v>
      </c>
      <c r="F301" s="95">
        <v>10.6</v>
      </c>
      <c r="G301" s="96">
        <v>1.99</v>
      </c>
      <c r="H301" s="96">
        <v>0.04</v>
      </c>
    </row>
    <row r="302" spans="1:8" x14ac:dyDescent="0.2">
      <c r="A302" t="str">
        <v>2023-3-PMB-EM-LE-3</v>
      </c>
      <c r="B302" t="s">
        <v>639</v>
      </c>
      <c r="C302" s="74" t="s">
        <v>479</v>
      </c>
      <c r="D302" s="74" t="s">
        <v>944</v>
      </c>
      <c r="E302" s="92">
        <v>45187</v>
      </c>
      <c r="F302" s="95">
        <v>10.6</v>
      </c>
      <c r="G302" s="96">
        <v>2.27</v>
      </c>
      <c r="H302" s="96">
        <v>0.03</v>
      </c>
    </row>
    <row r="303" spans="1:8" x14ac:dyDescent="0.2">
      <c r="A303" t="str">
        <v>2023-3-PMB-SR-LE-1</v>
      </c>
      <c r="B303" t="s">
        <v>875</v>
      </c>
      <c r="C303" s="74" t="s">
        <v>480</v>
      </c>
      <c r="D303" s="74" t="s">
        <v>944</v>
      </c>
      <c r="E303" s="92">
        <v>45187</v>
      </c>
      <c r="F303" s="95">
        <v>10.199999999999999</v>
      </c>
      <c r="G303" s="96">
        <v>1.85</v>
      </c>
      <c r="H303" s="96">
        <v>0.21</v>
      </c>
    </row>
    <row r="304" spans="1:8" x14ac:dyDescent="0.2">
      <c r="A304" t="str">
        <v>2023-3-PMB-SR-LE-2</v>
      </c>
      <c r="B304" t="s">
        <v>876</v>
      </c>
      <c r="C304" s="74" t="s">
        <v>481</v>
      </c>
      <c r="D304" s="74" t="s">
        <v>944</v>
      </c>
      <c r="E304" s="92">
        <v>45187</v>
      </c>
      <c r="F304" s="95">
        <v>5</v>
      </c>
      <c r="G304" s="96">
        <v>1.62</v>
      </c>
      <c r="H304" s="96">
        <v>0.28000000000000003</v>
      </c>
    </row>
    <row r="305" spans="1:8" x14ac:dyDescent="0.2">
      <c r="A305" t="str">
        <v>2023-3-PMB-SR-LE-3</v>
      </c>
      <c r="B305" t="s">
        <v>695</v>
      </c>
      <c r="C305" s="74" t="s">
        <v>482</v>
      </c>
      <c r="D305" s="74" t="s">
        <v>944</v>
      </c>
      <c r="E305" s="92">
        <v>45187</v>
      </c>
      <c r="F305" s="95">
        <v>8.6999999999999993</v>
      </c>
      <c r="G305" s="96">
        <v>1.63</v>
      </c>
      <c r="H305" s="96">
        <v>0.91</v>
      </c>
    </row>
    <row r="306" spans="1:8" x14ac:dyDescent="0.2">
      <c r="A306" t="str">
        <v>2023-3-COM-HC-LE-1</v>
      </c>
      <c r="B306" t="s">
        <v>877</v>
      </c>
      <c r="C306" s="74" t="s">
        <v>483</v>
      </c>
      <c r="D306" s="74" t="s">
        <v>945</v>
      </c>
      <c r="E306" s="92">
        <v>45187</v>
      </c>
      <c r="F306" s="95">
        <v>75.400000000000006</v>
      </c>
      <c r="G306" s="96">
        <v>1.84</v>
      </c>
      <c r="H306" s="96">
        <v>0.56000000000000005</v>
      </c>
    </row>
    <row r="307" spans="1:8" x14ac:dyDescent="0.2">
      <c r="A307" t="str">
        <v>2023-3-COM-HC-LE-2</v>
      </c>
      <c r="B307" t="s">
        <v>878</v>
      </c>
      <c r="C307" s="74" t="s">
        <v>484</v>
      </c>
      <c r="D307" s="74" t="s">
        <v>945</v>
      </c>
      <c r="E307" s="92">
        <v>45187</v>
      </c>
      <c r="F307" s="95">
        <v>61.7</v>
      </c>
      <c r="G307" s="96">
        <v>1.78</v>
      </c>
      <c r="H307" s="96">
        <v>1.1000000000000001</v>
      </c>
    </row>
    <row r="308" spans="1:8" x14ac:dyDescent="0.2">
      <c r="A308" t="str">
        <v>2023-3-COM-HC-LE-3</v>
      </c>
      <c r="B308" t="s">
        <v>706</v>
      </c>
      <c r="C308" s="74" t="s">
        <v>485</v>
      </c>
      <c r="D308" s="74" t="s">
        <v>945</v>
      </c>
      <c r="E308" s="92">
        <v>45187</v>
      </c>
      <c r="F308" s="95">
        <v>59.2</v>
      </c>
      <c r="G308" s="96">
        <v>1.81</v>
      </c>
      <c r="H308" s="96">
        <v>0.13</v>
      </c>
    </row>
    <row r="309" spans="1:8" x14ac:dyDescent="0.2">
      <c r="A309" t="str">
        <v>2023-3-COM-SP-LE-1</v>
      </c>
      <c r="B309" t="s">
        <v>879</v>
      </c>
      <c r="C309" s="74" t="s">
        <v>486</v>
      </c>
      <c r="D309" s="74" t="s">
        <v>945</v>
      </c>
      <c r="E309" s="92">
        <v>45187</v>
      </c>
      <c r="F309" s="95">
        <v>36.299999999999997</v>
      </c>
      <c r="G309" s="96">
        <v>1.79</v>
      </c>
      <c r="H309" s="96">
        <v>1.1399999999999999</v>
      </c>
    </row>
    <row r="310" spans="1:8" x14ac:dyDescent="0.2">
      <c r="A310" t="str">
        <v>2023-3-COM-SP-LE-2</v>
      </c>
      <c r="B310" t="s">
        <v>880</v>
      </c>
      <c r="C310" s="74" t="s">
        <v>487</v>
      </c>
      <c r="D310" s="74" t="s">
        <v>945</v>
      </c>
      <c r="E310" s="92">
        <v>45187</v>
      </c>
      <c r="F310" s="95">
        <v>47.6</v>
      </c>
      <c r="G310" s="96">
        <v>1.87</v>
      </c>
      <c r="H310" s="96">
        <v>0.16</v>
      </c>
    </row>
    <row r="311" spans="1:8" x14ac:dyDescent="0.2">
      <c r="A311" t="str">
        <v>2023-3-COM-SP-LE-3</v>
      </c>
      <c r="B311" t="s">
        <v>643</v>
      </c>
      <c r="C311" s="74" t="s">
        <v>488</v>
      </c>
      <c r="D311" s="74" t="s">
        <v>945</v>
      </c>
      <c r="E311" s="92">
        <v>45187</v>
      </c>
      <c r="F311" s="95">
        <v>31.4</v>
      </c>
      <c r="G311" s="96">
        <v>1.74</v>
      </c>
      <c r="H311" s="96">
        <v>0.97</v>
      </c>
    </row>
    <row r="312" spans="1:8" x14ac:dyDescent="0.2">
      <c r="A312" t="str">
        <v>2023-3-COM-EM-LE-1</v>
      </c>
      <c r="B312" t="s">
        <v>881</v>
      </c>
      <c r="C312" s="74" t="s">
        <v>489</v>
      </c>
      <c r="D312" s="74" t="s">
        <v>945</v>
      </c>
      <c r="E312" s="92">
        <v>45187</v>
      </c>
      <c r="F312" s="95">
        <v>15.9</v>
      </c>
      <c r="G312" s="96">
        <v>1.84</v>
      </c>
      <c r="H312" s="96">
        <v>0.45</v>
      </c>
    </row>
    <row r="313" spans="1:8" x14ac:dyDescent="0.2">
      <c r="A313" t="str">
        <v>2023-3-COM-EM-LE-2</v>
      </c>
      <c r="B313" t="s">
        <v>882</v>
      </c>
      <c r="C313" s="74" t="s">
        <v>490</v>
      </c>
      <c r="D313" s="74" t="s">
        <v>945</v>
      </c>
      <c r="E313" s="92">
        <v>45187</v>
      </c>
      <c r="F313" s="95">
        <v>27.1</v>
      </c>
      <c r="G313" s="96">
        <v>1.86</v>
      </c>
      <c r="H313" s="96">
        <v>0.28000000000000003</v>
      </c>
    </row>
    <row r="314" spans="1:8" x14ac:dyDescent="0.2">
      <c r="A314" t="str">
        <v>2023-3-COM-EM-LE-3</v>
      </c>
      <c r="B314" t="s">
        <v>647</v>
      </c>
      <c r="C314" s="74" t="s">
        <v>491</v>
      </c>
      <c r="D314" s="74" t="s">
        <v>945</v>
      </c>
      <c r="E314" s="92">
        <v>45187</v>
      </c>
      <c r="F314" s="95">
        <v>26.1</v>
      </c>
      <c r="G314" s="96">
        <v>1.85</v>
      </c>
      <c r="H314" s="96">
        <v>0.82</v>
      </c>
    </row>
    <row r="315" spans="1:8" x14ac:dyDescent="0.2">
      <c r="A315" t="str">
        <v>2023-3-COM-SR-LE-1</v>
      </c>
      <c r="B315" t="s">
        <v>883</v>
      </c>
      <c r="C315" s="74" t="s">
        <v>492</v>
      </c>
      <c r="D315" s="74" t="s">
        <v>945</v>
      </c>
      <c r="E315" s="92">
        <v>45188</v>
      </c>
      <c r="F315" s="95">
        <v>43.3</v>
      </c>
      <c r="G315" s="96">
        <v>1.88</v>
      </c>
      <c r="H315" s="96">
        <v>2.0299999999999998</v>
      </c>
    </row>
    <row r="316" spans="1:8" x14ac:dyDescent="0.2">
      <c r="A316" t="str">
        <v>2023-3-COM-SR-LE-2</v>
      </c>
      <c r="B316" t="s">
        <v>884</v>
      </c>
      <c r="C316" s="74" t="s">
        <v>493</v>
      </c>
      <c r="D316" s="74" t="s">
        <v>945</v>
      </c>
      <c r="E316" s="92">
        <v>45188</v>
      </c>
      <c r="F316" s="95">
        <v>75.2</v>
      </c>
      <c r="G316" s="96">
        <v>1.89</v>
      </c>
      <c r="H316" s="96">
        <v>0.64</v>
      </c>
    </row>
    <row r="317" spans="1:8" x14ac:dyDescent="0.2">
      <c r="A317" t="str">
        <v>2023-3-COM-SR-LE-3</v>
      </c>
      <c r="B317" t="s">
        <v>699</v>
      </c>
      <c r="C317" s="74" t="s">
        <v>494</v>
      </c>
      <c r="D317" s="74" t="s">
        <v>945</v>
      </c>
      <c r="E317" s="92">
        <v>45188</v>
      </c>
      <c r="F317" s="95">
        <v>102.5</v>
      </c>
      <c r="G317" s="96">
        <v>1.87</v>
      </c>
      <c r="H317" s="96">
        <v>1.32</v>
      </c>
    </row>
    <row r="318" spans="1:8" x14ac:dyDescent="0.2">
      <c r="A318" t="str">
        <v>2023-3-VBS-CL-LE-1</v>
      </c>
      <c r="B318" t="s">
        <v>885</v>
      </c>
      <c r="C318" s="74" t="s">
        <v>495</v>
      </c>
      <c r="D318" s="74" t="s">
        <v>945</v>
      </c>
      <c r="E318" s="92">
        <v>45188</v>
      </c>
      <c r="F318" s="95">
        <v>15</v>
      </c>
      <c r="G318" s="96">
        <v>2.0099999999999998</v>
      </c>
      <c r="H318" s="96">
        <v>1.1200000000000001</v>
      </c>
    </row>
    <row r="319" spans="1:8" x14ac:dyDescent="0.2">
      <c r="A319" t="str">
        <v>2023-3-VBS-CL-LE-2</v>
      </c>
      <c r="B319" t="s">
        <v>886</v>
      </c>
      <c r="C319" s="74" t="s">
        <v>496</v>
      </c>
      <c r="D319" s="74" t="s">
        <v>945</v>
      </c>
      <c r="E319" s="92">
        <v>45188</v>
      </c>
      <c r="F319" s="95">
        <v>38.700000000000003</v>
      </c>
      <c r="G319" s="96">
        <v>1.64</v>
      </c>
      <c r="H319" s="96">
        <v>0.67</v>
      </c>
    </row>
    <row r="320" spans="1:8" x14ac:dyDescent="0.2">
      <c r="A320" t="str">
        <v>2023-3-VBS-CL-LE-3</v>
      </c>
      <c r="B320" t="s">
        <v>724</v>
      </c>
      <c r="C320" s="74" t="s">
        <v>497</v>
      </c>
      <c r="D320" s="74" t="s">
        <v>945</v>
      </c>
      <c r="E320" s="92">
        <v>45188</v>
      </c>
      <c r="F320" s="95">
        <v>26.8</v>
      </c>
      <c r="G320" s="96">
        <v>1.86</v>
      </c>
      <c r="H320" s="96">
        <v>0.5</v>
      </c>
    </row>
    <row r="321" spans="1:8" x14ac:dyDescent="0.2">
      <c r="A321" t="str">
        <v>2023-3-VBS-PR-LE-1</v>
      </c>
      <c r="B321" t="s">
        <v>887</v>
      </c>
      <c r="C321" s="74" t="s">
        <v>498</v>
      </c>
      <c r="D321" s="74" t="s">
        <v>945</v>
      </c>
      <c r="E321" s="92">
        <v>45188</v>
      </c>
      <c r="F321" s="95">
        <v>20.8</v>
      </c>
      <c r="G321" s="96">
        <v>2.02</v>
      </c>
      <c r="H321" s="96">
        <v>0.35</v>
      </c>
    </row>
    <row r="322" spans="1:8" x14ac:dyDescent="0.2">
      <c r="A322" t="str">
        <v>2023-3-VBS-PR-LE-2</v>
      </c>
      <c r="B322" t="s">
        <v>888</v>
      </c>
      <c r="C322" s="74" t="s">
        <v>499</v>
      </c>
      <c r="D322" s="74" t="s">
        <v>945</v>
      </c>
      <c r="E322" s="92">
        <v>45188</v>
      </c>
      <c r="F322" s="95">
        <v>12.2</v>
      </c>
      <c r="G322" s="96">
        <v>2.15</v>
      </c>
      <c r="H322" s="96">
        <v>0.45</v>
      </c>
    </row>
    <row r="323" spans="1:8" x14ac:dyDescent="0.2">
      <c r="A323" t="str">
        <v>2023-3-VBS-PR-LE-3</v>
      </c>
      <c r="B323" t="s">
        <v>732</v>
      </c>
      <c r="C323" s="74" t="s">
        <v>500</v>
      </c>
      <c r="D323" s="74" t="s">
        <v>945</v>
      </c>
      <c r="E323" s="92">
        <v>45188</v>
      </c>
      <c r="F323" s="95">
        <v>23.6</v>
      </c>
      <c r="G323" s="96">
        <v>1.9</v>
      </c>
      <c r="H323" s="96">
        <v>0.08</v>
      </c>
    </row>
    <row r="324" spans="1:8" x14ac:dyDescent="0.2">
      <c r="A324" t="str">
        <v>2023-3-VBS-HC-LE-1</v>
      </c>
      <c r="B324" t="s">
        <v>889</v>
      </c>
      <c r="C324" s="74" t="s">
        <v>501</v>
      </c>
      <c r="D324" s="74" t="s">
        <v>945</v>
      </c>
      <c r="E324" s="92">
        <v>45188</v>
      </c>
      <c r="F324" s="95">
        <v>17.399999999999999</v>
      </c>
      <c r="G324" s="96">
        <v>1.74</v>
      </c>
      <c r="H324" s="96">
        <v>0.32</v>
      </c>
    </row>
    <row r="325" spans="1:8" x14ac:dyDescent="0.2">
      <c r="A325" t="str">
        <v>2023-3-VBS-HC-LE-2</v>
      </c>
      <c r="B325" t="s">
        <v>890</v>
      </c>
      <c r="C325" s="74" t="s">
        <v>502</v>
      </c>
      <c r="D325" s="74" t="s">
        <v>945</v>
      </c>
      <c r="E325" s="92">
        <v>45188</v>
      </c>
      <c r="F325" s="95">
        <v>40.9</v>
      </c>
      <c r="G325" s="96">
        <v>1.77</v>
      </c>
      <c r="H325" s="96">
        <v>0.19</v>
      </c>
    </row>
    <row r="326" spans="1:8" x14ac:dyDescent="0.2">
      <c r="A326" t="str">
        <v>2023-3-VBS-HC-LE-3</v>
      </c>
      <c r="B326" t="s">
        <v>740</v>
      </c>
      <c r="C326" s="74" t="s">
        <v>503</v>
      </c>
      <c r="D326" s="74" t="s">
        <v>945</v>
      </c>
      <c r="E326" s="92">
        <v>45188</v>
      </c>
      <c r="F326" s="95">
        <v>17.100000000000001</v>
      </c>
      <c r="G326" s="96">
        <v>1.62</v>
      </c>
      <c r="H326" s="96">
        <v>0.55000000000000004</v>
      </c>
    </row>
    <row r="327" spans="1:8" x14ac:dyDescent="0.2">
      <c r="A327" t="str">
        <v>2023-3-VBS-SP-LE-1</v>
      </c>
      <c r="B327" t="s">
        <v>891</v>
      </c>
      <c r="C327" s="74" t="s">
        <v>504</v>
      </c>
      <c r="D327" s="74" t="s">
        <v>945</v>
      </c>
      <c r="E327" s="92">
        <v>45188</v>
      </c>
      <c r="F327" s="95">
        <v>12.4</v>
      </c>
      <c r="G327" s="96">
        <v>1.93</v>
      </c>
      <c r="H327" s="96">
        <v>0.08</v>
      </c>
    </row>
    <row r="328" spans="1:8" x14ac:dyDescent="0.2">
      <c r="A328" t="str">
        <v>2023-3-VBS-SP-LE-2</v>
      </c>
      <c r="B328" t="s">
        <v>892</v>
      </c>
      <c r="C328" s="74" t="s">
        <v>505</v>
      </c>
      <c r="D328" s="74" t="s">
        <v>945</v>
      </c>
      <c r="E328" s="92">
        <v>45188</v>
      </c>
      <c r="F328" s="95">
        <v>17.100000000000001</v>
      </c>
      <c r="G328" s="96">
        <v>1.74</v>
      </c>
      <c r="H328" s="96">
        <v>0.3</v>
      </c>
    </row>
    <row r="329" spans="1:8" x14ac:dyDescent="0.2">
      <c r="A329" t="str">
        <v>2023-3-VBS-SP-LE-3</v>
      </c>
      <c r="B329" t="s">
        <v>651</v>
      </c>
      <c r="C329" s="74" t="s">
        <v>506</v>
      </c>
      <c r="D329" s="74" t="s">
        <v>945</v>
      </c>
      <c r="E329" s="92">
        <v>45188</v>
      </c>
      <c r="F329" s="95">
        <v>35.200000000000003</v>
      </c>
      <c r="G329" s="96">
        <v>1.91</v>
      </c>
      <c r="H329" s="96">
        <v>0.08</v>
      </c>
    </row>
    <row r="330" spans="1:8" x14ac:dyDescent="0.2">
      <c r="A330" t="str">
        <v>2023-3-VBS-LI-LE-1</v>
      </c>
      <c r="B330" t="s">
        <v>893</v>
      </c>
      <c r="C330" s="74" t="s">
        <v>507</v>
      </c>
      <c r="D330" s="74" t="s">
        <v>945</v>
      </c>
      <c r="E330" s="92">
        <v>45188</v>
      </c>
      <c r="F330" s="95">
        <v>71.599999999999994</v>
      </c>
      <c r="G330" s="96">
        <v>1.64</v>
      </c>
      <c r="H330" s="96">
        <v>0.66</v>
      </c>
    </row>
    <row r="331" spans="1:8" x14ac:dyDescent="0.2">
      <c r="A331" t="str">
        <v>2023-3-VBS-LI-LE-2</v>
      </c>
      <c r="B331" t="s">
        <v>894</v>
      </c>
      <c r="C331" s="74" t="s">
        <v>508</v>
      </c>
      <c r="D331" s="74" t="s">
        <v>945</v>
      </c>
      <c r="E331" s="92">
        <v>45188</v>
      </c>
      <c r="F331" s="95">
        <v>20.8</v>
      </c>
      <c r="G331" s="96">
        <v>1.75</v>
      </c>
      <c r="H331" s="96">
        <v>0.24</v>
      </c>
    </row>
    <row r="332" spans="1:8" x14ac:dyDescent="0.2">
      <c r="A332" t="str">
        <v>2023-3-VBS-LI-LE-3</v>
      </c>
      <c r="B332" t="s">
        <v>655</v>
      </c>
      <c r="C332" s="74" t="s">
        <v>509</v>
      </c>
      <c r="D332" s="74" t="s">
        <v>945</v>
      </c>
      <c r="E332" s="92">
        <v>45188</v>
      </c>
      <c r="F332" s="95">
        <v>33.4</v>
      </c>
      <c r="G332" s="96">
        <v>1.87</v>
      </c>
      <c r="H332" s="96">
        <v>0.19</v>
      </c>
    </row>
    <row r="333" spans="1:8" x14ac:dyDescent="0.2">
      <c r="A333" t="str">
        <v>2023-3-VBS-FR-LE-1</v>
      </c>
      <c r="B333" t="s">
        <v>895</v>
      </c>
      <c r="C333" s="74" t="s">
        <v>510</v>
      </c>
      <c r="D333" s="74" t="s">
        <v>945</v>
      </c>
      <c r="E333" s="92">
        <v>45188</v>
      </c>
      <c r="F333" s="95">
        <v>31</v>
      </c>
      <c r="G333" s="96">
        <v>1.85</v>
      </c>
      <c r="H333" s="96">
        <v>0.14000000000000001</v>
      </c>
    </row>
    <row r="334" spans="1:8" x14ac:dyDescent="0.2">
      <c r="A334" t="str">
        <v>2023-3-VBS-FR-LE-2</v>
      </c>
      <c r="B334" t="s">
        <v>896</v>
      </c>
      <c r="C334" s="74" t="s">
        <v>511</v>
      </c>
      <c r="D334" s="74" t="s">
        <v>945</v>
      </c>
      <c r="E334" s="92">
        <v>45188</v>
      </c>
      <c r="F334" s="95">
        <v>18.3</v>
      </c>
      <c r="G334" s="96">
        <v>1.79</v>
      </c>
      <c r="H334" s="96">
        <v>0.45</v>
      </c>
    </row>
    <row r="335" spans="1:8" x14ac:dyDescent="0.2">
      <c r="A335" t="str">
        <v>2023-3-VBS-FR-LE-3</v>
      </c>
      <c r="B335" t="s">
        <v>659</v>
      </c>
      <c r="C335" s="74" t="s">
        <v>512</v>
      </c>
      <c r="D335" s="74" t="s">
        <v>945</v>
      </c>
      <c r="E335" s="92">
        <v>45188</v>
      </c>
      <c r="F335" s="95">
        <v>23.9</v>
      </c>
      <c r="G335" s="96">
        <v>1.55</v>
      </c>
      <c r="H335" s="96">
        <v>0.53</v>
      </c>
    </row>
    <row r="336" spans="1:8" x14ac:dyDescent="0.2">
      <c r="A336" t="str">
        <v>2023-3-MIC-CL-LE-1</v>
      </c>
      <c r="B336" t="s">
        <v>897</v>
      </c>
      <c r="C336" s="74" t="s">
        <v>513</v>
      </c>
      <c r="D336" s="74" t="s">
        <v>946</v>
      </c>
      <c r="E336" s="92">
        <v>45188</v>
      </c>
      <c r="F336" s="95">
        <v>6.2</v>
      </c>
      <c r="G336" s="96">
        <v>1.64</v>
      </c>
      <c r="H336" s="96">
        <v>0.22</v>
      </c>
    </row>
    <row r="337" spans="1:8" x14ac:dyDescent="0.2">
      <c r="A337" t="str">
        <v>2023-3-MIC-CL-LE-2</v>
      </c>
      <c r="B337" t="s">
        <v>898</v>
      </c>
      <c r="C337" s="74" t="s">
        <v>514</v>
      </c>
      <c r="D337" s="74" t="s">
        <v>946</v>
      </c>
      <c r="E337" s="92">
        <v>45188</v>
      </c>
      <c r="F337" s="95">
        <v>10.4</v>
      </c>
      <c r="G337" s="96">
        <v>1.53</v>
      </c>
      <c r="H337" s="96">
        <v>0.35</v>
      </c>
    </row>
    <row r="338" spans="1:8" x14ac:dyDescent="0.2">
      <c r="A338" t="str">
        <v>2023-3-MIC-CL-LE-3</v>
      </c>
      <c r="B338" t="s">
        <v>759</v>
      </c>
      <c r="C338" s="74" t="s">
        <v>515</v>
      </c>
      <c r="D338" s="74" t="s">
        <v>946</v>
      </c>
      <c r="E338" s="92">
        <v>45188</v>
      </c>
      <c r="F338" s="95">
        <v>16.899999999999999</v>
      </c>
      <c r="G338" s="96">
        <v>1.53</v>
      </c>
      <c r="H338" s="96">
        <v>0.44</v>
      </c>
    </row>
    <row r="339" spans="1:8" x14ac:dyDescent="0.2">
      <c r="A339" t="str">
        <v>2023-3-MIC-HC-LE-1</v>
      </c>
      <c r="B339" t="s">
        <v>899</v>
      </c>
      <c r="C339" s="74" t="s">
        <v>516</v>
      </c>
      <c r="D339" s="74" t="s">
        <v>946</v>
      </c>
      <c r="E339" s="92">
        <v>45189</v>
      </c>
      <c r="F339" s="95">
        <v>11.6</v>
      </c>
      <c r="G339" s="96">
        <v>1.83</v>
      </c>
      <c r="H339" s="96">
        <v>0.16</v>
      </c>
    </row>
    <row r="340" spans="1:8" x14ac:dyDescent="0.2">
      <c r="A340" t="str">
        <v>2023-3-MIC-HC-LE-2</v>
      </c>
      <c r="B340" t="s">
        <v>900</v>
      </c>
      <c r="C340" s="74" t="s">
        <v>517</v>
      </c>
      <c r="D340" s="74" t="s">
        <v>946</v>
      </c>
      <c r="E340" s="92">
        <v>45189</v>
      </c>
      <c r="F340" s="95">
        <v>17.100000000000001</v>
      </c>
      <c r="G340" s="96">
        <v>1.91</v>
      </c>
      <c r="H340" s="96">
        <v>7.0000000000000007E-2</v>
      </c>
    </row>
    <row r="341" spans="1:8" x14ac:dyDescent="0.2">
      <c r="A341" t="str">
        <v>2023-3-MIC-HC-LE-3</v>
      </c>
      <c r="B341" t="s">
        <v>764</v>
      </c>
      <c r="C341" s="74" t="s">
        <v>518</v>
      </c>
      <c r="D341" s="74" t="s">
        <v>946</v>
      </c>
      <c r="E341" s="92">
        <v>45189</v>
      </c>
      <c r="F341" s="95">
        <v>11.5</v>
      </c>
      <c r="G341" s="96">
        <v>1.74</v>
      </c>
      <c r="H341" s="96">
        <v>0.25</v>
      </c>
    </row>
    <row r="342" spans="1:8" x14ac:dyDescent="0.2">
      <c r="A342" t="str">
        <v>2023-3-MIC-SP-LE-1</v>
      </c>
      <c r="B342" t="s">
        <v>901</v>
      </c>
      <c r="C342" s="74" t="s">
        <v>519</v>
      </c>
      <c r="D342" s="74" t="s">
        <v>946</v>
      </c>
      <c r="E342" s="92">
        <v>45189</v>
      </c>
      <c r="F342" s="95">
        <v>10.199999999999999</v>
      </c>
      <c r="G342" s="96">
        <v>2.0299999999999998</v>
      </c>
      <c r="H342" s="96">
        <v>0.03</v>
      </c>
    </row>
    <row r="343" spans="1:8" x14ac:dyDescent="0.2">
      <c r="A343" t="str">
        <v>2023-3-MIC-SP-LE-2</v>
      </c>
      <c r="B343" t="s">
        <v>902</v>
      </c>
      <c r="C343" s="74" t="s">
        <v>520</v>
      </c>
      <c r="D343" s="74" t="s">
        <v>946</v>
      </c>
      <c r="E343" s="92">
        <v>45189</v>
      </c>
      <c r="F343" s="95">
        <v>19.2</v>
      </c>
      <c r="G343" s="96">
        <v>1.78</v>
      </c>
      <c r="H343" s="96">
        <v>0.43</v>
      </c>
    </row>
    <row r="344" spans="1:8" x14ac:dyDescent="0.2">
      <c r="A344" t="str">
        <v>2023-3-MIC-SP-LE-3</v>
      </c>
      <c r="B344" t="s">
        <v>662</v>
      </c>
      <c r="C344" s="74" t="s">
        <v>521</v>
      </c>
      <c r="D344" s="74" t="s">
        <v>946</v>
      </c>
      <c r="E344" s="92">
        <v>45189</v>
      </c>
      <c r="F344" s="95">
        <v>9.1</v>
      </c>
      <c r="G344" s="96">
        <v>1.82</v>
      </c>
      <c r="H344" s="96">
        <v>0.42</v>
      </c>
    </row>
    <row r="345" spans="1:8" x14ac:dyDescent="0.2">
      <c r="A345" t="str">
        <v>2023-3-MIC-LI-LE-1</v>
      </c>
      <c r="B345" t="s">
        <v>903</v>
      </c>
      <c r="C345" s="74" t="s">
        <v>522</v>
      </c>
      <c r="D345" s="74" t="s">
        <v>946</v>
      </c>
      <c r="E345" s="92">
        <v>45189</v>
      </c>
      <c r="F345" s="95">
        <v>8.1999999999999993</v>
      </c>
      <c r="G345" s="96">
        <v>1.62</v>
      </c>
      <c r="H345" s="96">
        <v>0.94</v>
      </c>
    </row>
    <row r="346" spans="1:8" x14ac:dyDescent="0.2">
      <c r="A346" t="str">
        <v>2023-3-MIC-LI-LE-2</v>
      </c>
      <c r="B346" t="s">
        <v>904</v>
      </c>
      <c r="C346" s="74" t="s">
        <v>523</v>
      </c>
      <c r="D346" s="74" t="s">
        <v>946</v>
      </c>
      <c r="E346" s="92">
        <v>45189</v>
      </c>
      <c r="F346" s="95">
        <v>26.7</v>
      </c>
      <c r="G346" s="96">
        <v>1.51</v>
      </c>
      <c r="H346" s="96">
        <v>0.47</v>
      </c>
    </row>
    <row r="347" spans="1:8" x14ac:dyDescent="0.2">
      <c r="A347" t="str">
        <v>2023-3-MIC-LI-LE-3</v>
      </c>
      <c r="B347" t="s">
        <v>665</v>
      </c>
      <c r="C347" s="74" t="s">
        <v>524</v>
      </c>
      <c r="D347" s="74" t="s">
        <v>946</v>
      </c>
      <c r="E347" s="92">
        <v>45189</v>
      </c>
      <c r="F347" s="95">
        <v>7.4</v>
      </c>
      <c r="G347" s="96">
        <v>1.57</v>
      </c>
      <c r="H347" s="96">
        <v>0.15</v>
      </c>
    </row>
    <row r="348" spans="1:8" x14ac:dyDescent="0.2">
      <c r="A348" t="str">
        <v>2023-3-MIC-EM-LE-1</v>
      </c>
      <c r="B348" t="s">
        <v>905</v>
      </c>
      <c r="C348" s="74" t="s">
        <v>525</v>
      </c>
      <c r="D348" s="74" t="s">
        <v>946</v>
      </c>
      <c r="E348" s="92">
        <v>45189</v>
      </c>
      <c r="F348" s="95">
        <v>15.9</v>
      </c>
      <c r="G348" s="96">
        <v>1.75</v>
      </c>
      <c r="H348" s="96">
        <v>1.08</v>
      </c>
    </row>
    <row r="349" spans="1:8" x14ac:dyDescent="0.2">
      <c r="A349" t="str">
        <v>2023-3-MIC-EM-LE-2</v>
      </c>
      <c r="B349" t="s">
        <v>906</v>
      </c>
      <c r="C349" s="74" t="s">
        <v>526</v>
      </c>
      <c r="D349" s="74" t="s">
        <v>946</v>
      </c>
      <c r="E349" s="92">
        <v>45189</v>
      </c>
      <c r="F349" s="95">
        <v>15.9</v>
      </c>
      <c r="G349" s="96">
        <v>1.73</v>
      </c>
      <c r="H349" s="96">
        <v>0.06</v>
      </c>
    </row>
    <row r="350" spans="1:8" x14ac:dyDescent="0.2">
      <c r="A350" t="str">
        <v>2023-3-MIC-EM-LE-3</v>
      </c>
      <c r="B350" t="s">
        <v>668</v>
      </c>
      <c r="C350" s="74" t="s">
        <v>527</v>
      </c>
      <c r="D350" s="74" t="s">
        <v>946</v>
      </c>
      <c r="E350" s="92">
        <v>45189</v>
      </c>
      <c r="F350" s="95">
        <v>16.2</v>
      </c>
      <c r="G350" s="96">
        <v>1.55</v>
      </c>
      <c r="H350" s="96">
        <v>0.51</v>
      </c>
    </row>
    <row r="351" spans="1:8" x14ac:dyDescent="0.2">
      <c r="A351" t="str">
        <v>2023-3-MIB-CL-LE-1</v>
      </c>
      <c r="B351" t="s">
        <v>907</v>
      </c>
      <c r="C351" s="74" t="s">
        <v>528</v>
      </c>
      <c r="D351" s="74" t="s">
        <v>946</v>
      </c>
      <c r="E351" s="92">
        <v>45189</v>
      </c>
      <c r="F351" s="95">
        <v>8</v>
      </c>
      <c r="G351" s="96">
        <v>1.42</v>
      </c>
      <c r="H351" s="96">
        <v>0.71</v>
      </c>
    </row>
    <row r="352" spans="1:8" x14ac:dyDescent="0.2">
      <c r="A352" t="str">
        <v>2023-3-MIB-CL-LE-2</v>
      </c>
      <c r="B352" t="s">
        <v>908</v>
      </c>
      <c r="C352" s="74" t="s">
        <v>529</v>
      </c>
      <c r="D352" s="74" t="s">
        <v>946</v>
      </c>
      <c r="E352" s="92">
        <v>45189</v>
      </c>
      <c r="F352" s="95">
        <v>6.4</v>
      </c>
      <c r="G352" s="96">
        <v>1.52</v>
      </c>
      <c r="H352" s="96">
        <v>0.09</v>
      </c>
    </row>
    <row r="353" spans="1:10" x14ac:dyDescent="0.2">
      <c r="A353" t="str">
        <v>2023-3-MIB-CL-LE-3</v>
      </c>
      <c r="B353" t="s">
        <v>909</v>
      </c>
      <c r="C353" s="74" t="s">
        <v>530</v>
      </c>
      <c r="D353" s="74" t="s">
        <v>946</v>
      </c>
      <c r="E353" s="92">
        <v>45189</v>
      </c>
      <c r="F353" s="95">
        <v>6</v>
      </c>
      <c r="G353" s="96">
        <v>1.46</v>
      </c>
      <c r="H353" s="96">
        <v>0.14000000000000001</v>
      </c>
    </row>
    <row r="354" spans="1:10" x14ac:dyDescent="0.2">
      <c r="A354" t="str">
        <v>2023-3-MIB-HC-LE-1</v>
      </c>
      <c r="B354" t="s">
        <v>910</v>
      </c>
      <c r="C354" s="74" t="s">
        <v>531</v>
      </c>
      <c r="D354" s="74" t="s">
        <v>946</v>
      </c>
      <c r="E354" s="92">
        <v>45189</v>
      </c>
      <c r="F354" s="95">
        <v>4.7</v>
      </c>
      <c r="G354" s="96">
        <v>1.43</v>
      </c>
      <c r="H354" s="96">
        <v>0.04</v>
      </c>
    </row>
    <row r="355" spans="1:10" x14ac:dyDescent="0.2">
      <c r="A355" t="str">
        <v>2023-3-MIB-HC-LE-2</v>
      </c>
      <c r="B355" t="s">
        <v>911</v>
      </c>
      <c r="C355" s="74" t="s">
        <v>532</v>
      </c>
      <c r="D355" s="74" t="s">
        <v>946</v>
      </c>
      <c r="E355" s="92">
        <v>45189</v>
      </c>
      <c r="F355" s="95">
        <v>11.7</v>
      </c>
      <c r="G355" s="96">
        <v>1.71</v>
      </c>
      <c r="H355" s="96">
        <v>0.17</v>
      </c>
    </row>
    <row r="356" spans="1:10" x14ac:dyDescent="0.2">
      <c r="A356" t="str">
        <v>2023-3-MIB-HC-LE-3</v>
      </c>
      <c r="B356" t="s">
        <v>912</v>
      </c>
      <c r="C356" s="74" t="s">
        <v>533</v>
      </c>
      <c r="D356" s="74" t="s">
        <v>946</v>
      </c>
      <c r="E356" s="92">
        <v>45189</v>
      </c>
      <c r="F356" s="95">
        <v>9.5</v>
      </c>
      <c r="G356" s="96">
        <v>1.51</v>
      </c>
      <c r="H356" s="96">
        <v>0.15</v>
      </c>
    </row>
    <row r="357" spans="1:10" x14ac:dyDescent="0.2">
      <c r="A357" t="str">
        <v>2023-3-MIB-SP-LE-1</v>
      </c>
      <c r="B357" t="s">
        <v>913</v>
      </c>
      <c r="C357" s="74" t="s">
        <v>534</v>
      </c>
      <c r="D357" s="74" t="s">
        <v>946</v>
      </c>
      <c r="E357" s="92">
        <v>45189</v>
      </c>
      <c r="F357" s="95">
        <v>8.4</v>
      </c>
      <c r="G357" s="96">
        <v>1.57</v>
      </c>
      <c r="H357" s="96">
        <v>0.12</v>
      </c>
    </row>
    <row r="358" spans="1:10" x14ac:dyDescent="0.2">
      <c r="A358" t="str">
        <v>2023-3-MIB-SP-LE-2</v>
      </c>
      <c r="B358" t="s">
        <v>914</v>
      </c>
      <c r="C358" s="74" t="s">
        <v>535</v>
      </c>
      <c r="D358" s="74" t="s">
        <v>946</v>
      </c>
      <c r="E358" s="92">
        <v>45189</v>
      </c>
      <c r="F358" s="95">
        <v>5.6</v>
      </c>
      <c r="G358" s="96">
        <v>1.4</v>
      </c>
      <c r="H358" s="96">
        <v>0.22</v>
      </c>
    </row>
    <row r="359" spans="1:10" x14ac:dyDescent="0.2">
      <c r="A359" t="str">
        <v>2023-3-MIB-SP-LE-3</v>
      </c>
      <c r="B359" t="s">
        <v>671</v>
      </c>
      <c r="C359" s="74" t="s">
        <v>536</v>
      </c>
      <c r="D359" s="74" t="s">
        <v>946</v>
      </c>
      <c r="E359" s="92">
        <v>45189</v>
      </c>
      <c r="F359" s="95">
        <v>9.1</v>
      </c>
      <c r="G359" s="96">
        <v>1.44</v>
      </c>
      <c r="H359" s="96">
        <v>0.23</v>
      </c>
      <c r="J359" s="99"/>
    </row>
    <row r="360" spans="1:10" x14ac:dyDescent="0.2">
      <c r="A360" t="str">
        <v>2023-3-MIB-LI-LE-1</v>
      </c>
      <c r="B360" t="s">
        <v>915</v>
      </c>
      <c r="C360" s="74" t="s">
        <v>537</v>
      </c>
      <c r="D360" s="74" t="s">
        <v>946</v>
      </c>
      <c r="E360" s="92">
        <v>45189</v>
      </c>
      <c r="F360" s="95">
        <v>6</v>
      </c>
      <c r="G360" s="96">
        <v>1.46</v>
      </c>
      <c r="H360" s="96">
        <v>0.09</v>
      </c>
    </row>
    <row r="361" spans="1:10" x14ac:dyDescent="0.2">
      <c r="A361" t="str">
        <v>2023-3-MIB-LI-LE-2</v>
      </c>
      <c r="B361" t="s">
        <v>916</v>
      </c>
      <c r="C361" s="74" t="s">
        <v>538</v>
      </c>
      <c r="D361" s="74" t="s">
        <v>946</v>
      </c>
      <c r="E361" s="92">
        <v>45189</v>
      </c>
      <c r="F361" s="95">
        <v>5.4</v>
      </c>
      <c r="G361" s="96">
        <v>1.29</v>
      </c>
      <c r="H361" s="96">
        <v>0.46</v>
      </c>
    </row>
    <row r="362" spans="1:10" x14ac:dyDescent="0.2">
      <c r="A362" t="str">
        <v>2023-3-MIB-LI-LE-3</v>
      </c>
      <c r="B362" t="s">
        <v>674</v>
      </c>
      <c r="C362" s="74" t="s">
        <v>539</v>
      </c>
      <c r="D362" s="74" t="s">
        <v>946</v>
      </c>
      <c r="E362" s="92">
        <v>45189</v>
      </c>
      <c r="F362" s="95">
        <v>21</v>
      </c>
      <c r="G362" s="96">
        <v>1.46</v>
      </c>
      <c r="H362" s="96">
        <v>0.34</v>
      </c>
    </row>
    <row r="363" spans="1:10" x14ac:dyDescent="0.2">
      <c r="A363" t="str">
        <v>2023-3-MIB-EM-LE-1</v>
      </c>
      <c r="B363" t="s">
        <v>917</v>
      </c>
      <c r="C363" s="74" t="s">
        <v>540</v>
      </c>
      <c r="D363" s="74" t="s">
        <v>946</v>
      </c>
    </row>
    <row r="364" spans="1:10" x14ac:dyDescent="0.2">
      <c r="A364" t="str">
        <v>2023-3-MIB-EM-LE-2</v>
      </c>
      <c r="B364" t="s">
        <v>918</v>
      </c>
      <c r="C364" s="74" t="s">
        <v>541</v>
      </c>
      <c r="D364" s="74" t="s">
        <v>946</v>
      </c>
    </row>
    <row r="365" spans="1:10" x14ac:dyDescent="0.2">
      <c r="A365" t="str">
        <v>2023-3-MIB-EM-LE-3</v>
      </c>
      <c r="B365" t="s">
        <v>677</v>
      </c>
      <c r="C365" s="74" t="s">
        <v>542</v>
      </c>
      <c r="D365" s="74" t="s">
        <v>946</v>
      </c>
    </row>
    <row r="366" spans="1:10" x14ac:dyDescent="0.2">
      <c r="A366" t="str">
        <v>2023-ctrl-PCR-neg-LaforestP7-16S</v>
      </c>
      <c r="B366" t="s">
        <v>1418</v>
      </c>
      <c r="D366" s="92">
        <v>45092</v>
      </c>
      <c r="E366" s="92">
        <v>45093</v>
      </c>
      <c r="F366" s="98">
        <v>4.3</v>
      </c>
      <c r="G366" s="97">
        <v>1.49</v>
      </c>
      <c r="H366" s="97">
        <v>0.12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805B-D68B-40B5-9EF2-EB5E8207906E}">
  <dimension ref="A2:A7"/>
  <sheetViews>
    <sheetView workbookViewId="0">
      <selection activeCell="C11" sqref="C11"/>
    </sheetView>
  </sheetViews>
  <sheetFormatPr baseColWidth="10" defaultRowHeight="15" x14ac:dyDescent="0.2"/>
  <cols>
    <col min="1" max="1" width="17.5" bestFit="1" customWidth="1"/>
  </cols>
  <sheetData>
    <row r="2" spans="1:1" x14ac:dyDescent="0.2">
      <c r="A2" t="s">
        <v>938</v>
      </c>
    </row>
    <row r="3" spans="1:1" x14ac:dyDescent="0.2">
      <c r="A3" t="s">
        <v>939</v>
      </c>
    </row>
    <row r="4" spans="1:1" x14ac:dyDescent="0.2">
      <c r="A4" t="s">
        <v>940</v>
      </c>
    </row>
    <row r="5" spans="1:1" x14ac:dyDescent="0.2">
      <c r="A5" t="s">
        <v>941</v>
      </c>
    </row>
    <row r="6" spans="1:1" x14ac:dyDescent="0.2">
      <c r="A6" t="s">
        <v>943</v>
      </c>
    </row>
    <row r="7" spans="1:1" x14ac:dyDescent="0.2">
      <c r="A7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Vergers</vt:lpstr>
      <vt:lpstr>Susceptibilité</vt:lpstr>
      <vt:lpstr>Cultivars</vt:lpstr>
      <vt:lpstr>SamplingGuide</vt:lpstr>
      <vt:lpstr>Feuil2</vt:lpstr>
      <vt:lpstr>Meta</vt:lpstr>
      <vt:lpstr>Metadata</vt:lpstr>
      <vt:lpstr>Feuil1</vt:lpstr>
      <vt:lpstr>meta_2022&amp;2023</vt:lpstr>
      <vt:lpstr>Biomol</vt:lpstr>
      <vt:lpstr>Acknowlegments</vt:lpstr>
      <vt:lpstr>SamplingGuide!Zone_d_impression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Boutin Sophie</dc:creator>
  <cp:lastModifiedBy>Alexis Roy</cp:lastModifiedBy>
  <cp:lastPrinted>2024-05-07T13:51:52Z</cp:lastPrinted>
  <dcterms:created xsi:type="dcterms:W3CDTF">2023-03-07T15:10:12Z</dcterms:created>
  <dcterms:modified xsi:type="dcterms:W3CDTF">2025-01-27T18:07:27Z</dcterms:modified>
</cp:coreProperties>
</file>